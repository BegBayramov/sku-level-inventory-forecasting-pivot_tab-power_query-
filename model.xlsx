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g\Desktop\proiecti\Supply Chain  Data Analyst\"/>
    </mc:Choice>
  </mc:AlternateContent>
  <xr:revisionPtr revIDLastSave="0" documentId="8_{17CB4CA2-B3AF-4E4B-A5AE-B27728DAABAE}" xr6:coauthVersionLast="47" xr6:coauthVersionMax="47" xr10:uidLastSave="{00000000-0000-0000-0000-000000000000}"/>
  <bookViews>
    <workbookView xWindow="-120" yWindow="-120" windowWidth="20730" windowHeight="11310" xr2:uid="{79A40812-EA7C-421E-8F58-54AE6069877E}"/>
  </bookViews>
  <sheets>
    <sheet name="Model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3" i="1" l="1"/>
  <c r="G13" i="1"/>
  <c r="F13" i="1"/>
  <c r="H13" i="1" s="1"/>
  <c r="E13" i="1"/>
  <c r="I12" i="1"/>
  <c r="G12" i="1"/>
  <c r="H12" i="1" s="1"/>
  <c r="F12" i="1"/>
  <c r="E12" i="1"/>
  <c r="I11" i="1"/>
  <c r="H11" i="1"/>
  <c r="G11" i="1"/>
  <c r="F11" i="1"/>
  <c r="E11" i="1"/>
  <c r="I10" i="1"/>
  <c r="G10" i="1"/>
  <c r="E10" i="1"/>
  <c r="F10" i="1" s="1"/>
  <c r="H10" i="1" s="1"/>
  <c r="I9" i="1"/>
  <c r="G9" i="1"/>
  <c r="E9" i="1"/>
  <c r="F9" i="1" s="1"/>
  <c r="H9" i="1" s="1"/>
  <c r="I8" i="1"/>
  <c r="G8" i="1"/>
  <c r="H8" i="1" s="1"/>
  <c r="F8" i="1"/>
  <c r="E8" i="1"/>
  <c r="I7" i="1"/>
  <c r="G7" i="1"/>
  <c r="H7" i="1" s="1"/>
  <c r="F7" i="1"/>
  <c r="E7" i="1"/>
  <c r="I6" i="1"/>
  <c r="G6" i="1"/>
  <c r="E6" i="1"/>
  <c r="F6" i="1" s="1"/>
  <c r="H6" i="1" s="1"/>
  <c r="I5" i="1"/>
  <c r="G5" i="1"/>
  <c r="E5" i="1"/>
  <c r="F5" i="1" s="1"/>
  <c r="H5" i="1" s="1"/>
</calcChain>
</file>

<file path=xl/sharedStrings.xml><?xml version="1.0" encoding="utf-8"?>
<sst xmlns="http://schemas.openxmlformats.org/spreadsheetml/2006/main" count="28" uniqueCount="16">
  <si>
    <t>SKU-location forecasting + Reorder Point (ROP)</t>
  </si>
  <si>
    <t>SKU</t>
  </si>
  <si>
    <t>Warehouse</t>
  </si>
  <si>
    <t>Avg Daily Sales</t>
  </si>
  <si>
    <t>Lead Time (days)</t>
  </si>
  <si>
    <t>Safety Stock</t>
  </si>
  <si>
    <t>ROP</t>
  </si>
  <si>
    <t>Current Stock</t>
  </si>
  <si>
    <t>Status</t>
  </si>
  <si>
    <t>Forecast (7 days)</t>
  </si>
  <si>
    <t>A</t>
  </si>
  <si>
    <t>Bucharest</t>
  </si>
  <si>
    <t>Cluj</t>
  </si>
  <si>
    <t>Timisoara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</si>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</sst>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sz val="11"/>
      <name val="Calibri"/>
      <family val="2"/>
      <scheme val="minor"/>
    </font>
    <font>
      <i/>
      <sz val="11"/>
      <color rgb="FF404040"/>
      <name val="Calibri"/>
      <family val="2"/>
      <charset val="204"/>
    </font>
    <font>
      <b/>
      <sz val="11"/>
      <color rgb="FFFFFFFF"/>
      <name val="Calibri"/>
      <family val="2"/>
      <charset val="204"/>
    </font>
    <font>
      <sz val="11"/>
      <name val="Calibri"/>
      <family val="2"/>
      <charset val="204"/>
    </font>
    <font>
      <sz val="11"/>
      <color rgb="FF0000FF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/>
    <xf numFmtId="0" fontId="4" fillId="0" borderId="0" xfId="0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 wrapText="1"/>
    </xf>
    <xf numFmtId="2" fontId="0" fillId="0" borderId="0" xfId="0" applyNumberFormat="1"/>
    <xf numFmtId="0" fontId="5" fillId="0" borderId="0" xfId="0" applyFont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5">
    <dxf>
      <numFmt numFmtId="2" formatCode="0.00"/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ow_level_forecast_ROP_90day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es_Data"/>
      <sheetName val="Avg_sales"/>
      <sheetName val="Лист1"/>
      <sheetName val="Forecast_ROP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FDE7D4-B070-4620-9BEB-51CAEA98E9A9}" name="ForecastTable" displayName="ForecastTable" ref="A4:I13">
  <autoFilter ref="A4:I13" xr:uid="{AB72B4E6-A147-4443-977D-98DF9F1321A1}"/>
  <tableColumns count="9">
    <tableColumn id="1" xr3:uid="{87749EBE-055D-4B67-A619-EB0A40765DB8}" name="SKU"/>
    <tableColumn id="2" xr3:uid="{4B60979D-8D8D-409E-A477-59BCAAB2A75A}" name="Warehouse"/>
    <tableColumn id="3" xr3:uid="{B78DB174-40B2-4E72-8B1C-62314FE6CCD2}" name="Avg Daily Sales" dataDxfId="0">
      <calculatedColumnFormula>AVERAGEIFS([1]Sales_Data!$D:$D,[1]Sales_Data!$B:$B,$A5,[1]Sales_Data!$C:$C,$B5)</calculatedColumnFormula>
    </tableColumn>
    <tableColumn id="4" xr3:uid="{9CFF6770-3849-4369-8ABF-A1D5142B390E}" name="Lead Time (days)"/>
    <tableColumn id="5" xr3:uid="{FD1CC42E-8A32-4FF8-9076-3BA1C7C14CF9}" name="Safety Stock">
      <calculatedColumnFormula>ForecastTable[[#This Row],[Avg Daily Sales]]*2</calculatedColumnFormula>
    </tableColumn>
    <tableColumn id="6" xr3:uid="{11E2F6A8-FC2D-40F0-B310-17C2D2DAEA4B}" name="ROP">
      <calculatedColumnFormula>ROUND(ForecastTable[[#This Row],[Avg Daily Sales]]*ForecastTable[[#This Row],[Lead Time (days)]]+ForecastTable[[#This Row],[Safety Stock]],0)</calculatedColumnFormula>
    </tableColumn>
    <tableColumn id="7" xr3:uid="{65F57DE0-ACCC-42D9-8231-2CC3B4B327FD}" name="Current Stock"/>
    <tableColumn id="8" xr3:uid="{5290E210-6E06-41F2-8435-49E862D758B1}" name="Status">
      <calculatedColumnFormula>IF(ForecastTable[[#This Row],[Current Stock]]&lt;=ForecastTable[[#This Row],[ROP]],"ORDER","OK")</calculatedColumnFormula>
    </tableColumn>
    <tableColumn id="9" xr3:uid="{E97A4D8E-1187-413B-A341-F99216D777AA}" name="Forecast (7 days)">
      <calculatedColumnFormula>ROUND(ForecastTable[[#This Row],[Avg Daily Sales]]*7,0)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95DCE-5EA3-4B03-B9ED-EDC296990D8C}">
  <dimension ref="A1:I19"/>
  <sheetViews>
    <sheetView tabSelected="1" workbookViewId="0">
      <selection activeCell="E16" sqref="E16"/>
    </sheetView>
  </sheetViews>
  <sheetFormatPr defaultRowHeight="15" x14ac:dyDescent="0.25"/>
  <cols>
    <col min="1" max="1" width="9.85546875" customWidth="1"/>
    <col min="2" max="2" width="11" customWidth="1"/>
    <col min="3" max="3" width="12.140625" style="7" customWidth="1"/>
    <col min="4" max="4" width="11.85546875" customWidth="1"/>
    <col min="5" max="5" width="13.85546875" customWidth="1"/>
    <col min="6" max="6" width="11.42578125" customWidth="1"/>
    <col min="7" max="7" width="11.140625" customWidth="1"/>
    <col min="8" max="8" width="11.28515625" customWidth="1"/>
    <col min="9" max="9" width="12" customWidth="1"/>
  </cols>
  <sheetData>
    <row r="1" spans="1:9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s="3"/>
      <c r="C2"/>
      <c r="H2" s="4"/>
    </row>
    <row r="4" spans="1:9" ht="30" x14ac:dyDescent="0.25">
      <c r="A4" s="5" t="s">
        <v>1</v>
      </c>
      <c r="B4" s="5" t="s">
        <v>2</v>
      </c>
      <c r="C4" s="6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</row>
    <row r="5" spans="1:9" x14ac:dyDescent="0.25">
      <c r="A5" t="s">
        <v>10</v>
      </c>
      <c r="B5" t="s">
        <v>11</v>
      </c>
      <c r="C5" s="7">
        <v>22.455555555555556</v>
      </c>
      <c r="D5" s="8">
        <v>5</v>
      </c>
      <c r="E5" s="9">
        <f>ForecastTable[[#This Row],[Avg Daily Sales]]*2</f>
        <v>44.911111111111111</v>
      </c>
      <c r="F5" s="10">
        <f>ROUND(ForecastTable[[#This Row],[Avg Daily Sales]]*ForecastTable[[#This Row],[Lead Time (days)]]+ForecastTable[[#This Row],[Safety Stock]],0)</f>
        <v>157</v>
      </c>
      <c r="G5" s="8">
        <f>ROUND($C5*15,0)</f>
        <v>337</v>
      </c>
      <c r="H5" s="10" t="str">
        <f>IF(ForecastTable[[#This Row],[Current Stock]]&lt;=ForecastTable[[#This Row],[ROP]],"ORDER","OK")</f>
        <v>OK</v>
      </c>
      <c r="I5" s="10">
        <f>ROUND(ForecastTable[[#This Row],[Avg Daily Sales]]*7,0)</f>
        <v>157</v>
      </c>
    </row>
    <row r="6" spans="1:9" x14ac:dyDescent="0.25">
      <c r="A6" t="s">
        <v>10</v>
      </c>
      <c r="B6" t="s">
        <v>12</v>
      </c>
      <c r="C6" s="7">
        <v>23.522222222222222</v>
      </c>
      <c r="D6" s="8">
        <v>5</v>
      </c>
      <c r="E6" s="9">
        <f>ForecastTable[[#This Row],[Avg Daily Sales]]*2</f>
        <v>47.044444444444444</v>
      </c>
      <c r="F6" s="10">
        <f>ROUND(ForecastTable[[#This Row],[Avg Daily Sales]]*ForecastTable[[#This Row],[Lead Time (days)]]+ForecastTable[[#This Row],[Safety Stock]],0)</f>
        <v>165</v>
      </c>
      <c r="G6" s="8">
        <f>ROUND($C6*12,0)</f>
        <v>282</v>
      </c>
      <c r="H6" s="10" t="str">
        <f>IF(ForecastTable[[#This Row],[Current Stock]]&lt;=ForecastTable[[#This Row],[ROP]],"ORDER","OK")</f>
        <v>OK</v>
      </c>
      <c r="I6" s="10">
        <f>ROUND(ForecastTable[[#This Row],[Avg Daily Sales]]*7,0)</f>
        <v>165</v>
      </c>
    </row>
    <row r="7" spans="1:9" x14ac:dyDescent="0.25">
      <c r="A7" t="s">
        <v>10</v>
      </c>
      <c r="B7" t="s">
        <v>13</v>
      </c>
      <c r="C7" s="7">
        <v>22.322222222222223</v>
      </c>
      <c r="D7" s="8">
        <v>5</v>
      </c>
      <c r="E7" s="9">
        <f>ForecastTable[[#This Row],[Avg Daily Sales]]*2</f>
        <v>44.644444444444446</v>
      </c>
      <c r="F7" s="10">
        <f>ROUND(ForecastTable[[#This Row],[Avg Daily Sales]]*ForecastTable[[#This Row],[Lead Time (days)]]+ForecastTable[[#This Row],[Safety Stock]],0)</f>
        <v>156</v>
      </c>
      <c r="G7" s="8">
        <f>ROUND($C7*16,0)</f>
        <v>357</v>
      </c>
      <c r="H7" s="10" t="str">
        <f>IF(ForecastTable[[#This Row],[Current Stock]]&lt;=ForecastTable[[#This Row],[ROP]],"ORDER","OK")</f>
        <v>OK</v>
      </c>
      <c r="I7" s="10">
        <f>ROUND(ForecastTable[[#This Row],[Avg Daily Sales]]*7,0)</f>
        <v>156</v>
      </c>
    </row>
    <row r="8" spans="1:9" x14ac:dyDescent="0.25">
      <c r="A8" t="s">
        <v>14</v>
      </c>
      <c r="B8" t="s">
        <v>11</v>
      </c>
      <c r="C8" s="7">
        <v>20.711111111111112</v>
      </c>
      <c r="D8" s="8">
        <v>5</v>
      </c>
      <c r="E8" s="9">
        <f>ForecastTable[[#This Row],[Avg Daily Sales]]*2</f>
        <v>41.422222222222224</v>
      </c>
      <c r="F8" s="10">
        <f>ROUND(ForecastTable[[#This Row],[Avg Daily Sales]]*ForecastTable[[#This Row],[Lead Time (days)]]+ForecastTable[[#This Row],[Safety Stock]],0)</f>
        <v>145</v>
      </c>
      <c r="G8" s="8">
        <f>ROUND($C8*10,0)</f>
        <v>207</v>
      </c>
      <c r="H8" s="10" t="str">
        <f>IF(ForecastTable[[#This Row],[Current Stock]]&lt;=ForecastTable[[#This Row],[ROP]],"ORDER","OK")</f>
        <v>OK</v>
      </c>
      <c r="I8" s="10">
        <f>ROUND(ForecastTable[[#This Row],[Avg Daily Sales]]*7,0)</f>
        <v>145</v>
      </c>
    </row>
    <row r="9" spans="1:9" x14ac:dyDescent="0.25">
      <c r="A9" t="s">
        <v>14</v>
      </c>
      <c r="B9" t="s">
        <v>12</v>
      </c>
      <c r="C9" s="7">
        <v>20.488888888888887</v>
      </c>
      <c r="D9" s="8">
        <v>5</v>
      </c>
      <c r="E9" s="9">
        <f>ForecastTable[[#This Row],[Avg Daily Sales]]*2</f>
        <v>40.977777777777774</v>
      </c>
      <c r="F9" s="10">
        <f>ROUND(ForecastTable[[#This Row],[Avg Daily Sales]]*ForecastTable[[#This Row],[Lead Time (days)]]+ForecastTable[[#This Row],[Safety Stock]],0)</f>
        <v>143</v>
      </c>
      <c r="G9" s="8">
        <f>ROUND($C9*11,0)</f>
        <v>225</v>
      </c>
      <c r="H9" s="10" t="str">
        <f>IF(ForecastTable[[#This Row],[Current Stock]]&lt;=ForecastTable[[#This Row],[ROP]],"ORDER","OK")</f>
        <v>OK</v>
      </c>
      <c r="I9" s="10">
        <f>ROUND(ForecastTable[[#This Row],[Avg Daily Sales]]*7,0)</f>
        <v>143</v>
      </c>
    </row>
    <row r="10" spans="1:9" x14ac:dyDescent="0.25">
      <c r="A10" t="s">
        <v>14</v>
      </c>
      <c r="B10" t="s">
        <v>13</v>
      </c>
      <c r="C10" s="7">
        <v>22.155555555555555</v>
      </c>
      <c r="D10" s="8">
        <v>5</v>
      </c>
      <c r="E10" s="9">
        <f>ForecastTable[[#This Row],[Avg Daily Sales]]*2</f>
        <v>44.31111111111111</v>
      </c>
      <c r="F10" s="10">
        <f>ROUND(ForecastTable[[#This Row],[Avg Daily Sales]]*ForecastTable[[#This Row],[Lead Time (days)]]+ForecastTable[[#This Row],[Safety Stock]],0)</f>
        <v>155</v>
      </c>
      <c r="G10" s="8">
        <f>ROUND($C10*18,0)</f>
        <v>399</v>
      </c>
      <c r="H10" s="10" t="str">
        <f>IF(ForecastTable[[#This Row],[Current Stock]]&lt;=ForecastTable[[#This Row],[ROP]],"ORDER","OK")</f>
        <v>OK</v>
      </c>
      <c r="I10" s="10">
        <f>ROUND(ForecastTable[[#This Row],[Avg Daily Sales]]*7,0)</f>
        <v>155</v>
      </c>
    </row>
    <row r="11" spans="1:9" x14ac:dyDescent="0.25">
      <c r="A11" t="s">
        <v>15</v>
      </c>
      <c r="B11" t="s">
        <v>11</v>
      </c>
      <c r="C11" s="7">
        <v>21.555555555555557</v>
      </c>
      <c r="D11" s="8">
        <v>5</v>
      </c>
      <c r="E11" s="9">
        <f>ForecastTable[[#This Row],[Avg Daily Sales]]*2</f>
        <v>43.111111111111114</v>
      </c>
      <c r="F11" s="10">
        <f>ROUND(ForecastTable[[#This Row],[Avg Daily Sales]]*ForecastTable[[#This Row],[Lead Time (days)]]+ForecastTable[[#This Row],[Safety Stock]],0)</f>
        <v>151</v>
      </c>
      <c r="G11" s="8">
        <f>ROUND($C11*11,0)</f>
        <v>237</v>
      </c>
      <c r="H11" s="10" t="str">
        <f>IF(ForecastTable[[#This Row],[Current Stock]]&lt;=ForecastTable[[#This Row],[ROP]],"ORDER","OK")</f>
        <v>OK</v>
      </c>
      <c r="I11" s="10">
        <f>ROUND(ForecastTable[[#This Row],[Avg Daily Sales]]*7,0)</f>
        <v>151</v>
      </c>
    </row>
    <row r="12" spans="1:9" x14ac:dyDescent="0.25">
      <c r="A12" t="s">
        <v>15</v>
      </c>
      <c r="B12" t="s">
        <v>12</v>
      </c>
      <c r="C12" s="7">
        <v>22.788888888888888</v>
      </c>
      <c r="D12" s="8">
        <v>5</v>
      </c>
      <c r="E12" s="9">
        <f>ForecastTable[[#This Row],[Avg Daily Sales]]*2</f>
        <v>45.577777777777776</v>
      </c>
      <c r="F12" s="10">
        <f>ROUND(ForecastTable[[#This Row],[Avg Daily Sales]]*ForecastTable[[#This Row],[Lead Time (days)]]+ForecastTable[[#This Row],[Safety Stock]],0)</f>
        <v>160</v>
      </c>
      <c r="G12" s="8">
        <f>ROUND($C12*15,0)</f>
        <v>342</v>
      </c>
      <c r="H12" s="10" t="str">
        <f>IF(ForecastTable[[#This Row],[Current Stock]]&lt;=ForecastTable[[#This Row],[ROP]],"ORDER","OK")</f>
        <v>OK</v>
      </c>
      <c r="I12" s="10">
        <f>ROUND(ForecastTable[[#This Row],[Avg Daily Sales]]*7,0)</f>
        <v>160</v>
      </c>
    </row>
    <row r="13" spans="1:9" x14ac:dyDescent="0.25">
      <c r="A13" t="s">
        <v>15</v>
      </c>
      <c r="B13" t="s">
        <v>13</v>
      </c>
      <c r="C13" s="7">
        <v>22.888888888888889</v>
      </c>
      <c r="D13" s="8">
        <v>5</v>
      </c>
      <c r="E13" s="9">
        <f>ForecastTable[[#This Row],[Avg Daily Sales]]*2</f>
        <v>45.777777777777779</v>
      </c>
      <c r="F13" s="10">
        <f>ROUND(ForecastTable[[#This Row],[Avg Daily Sales]]*ForecastTable[[#This Row],[Lead Time (days)]]+ForecastTable[[#This Row],[Safety Stock]],0)</f>
        <v>160</v>
      </c>
      <c r="G13" s="8">
        <f>ROUND($C13*10,0)</f>
        <v>229</v>
      </c>
      <c r="H13" s="10" t="str">
        <f>IF(ForecastTable[[#This Row],[Current Stock]]&lt;=ForecastTable[[#This Row],[ROP]],"ORDER","OK")</f>
        <v>OK</v>
      </c>
      <c r="I13" s="10">
        <f>ROUND(ForecastTable[[#This Row],[Avg Daily Sales]]*7,0)</f>
        <v>160</v>
      </c>
    </row>
    <row r="14" spans="1:9" x14ac:dyDescent="0.25">
      <c r="A14" s="10"/>
      <c r="B14" s="10"/>
      <c r="C14" s="9"/>
      <c r="D14" s="11"/>
      <c r="E14" s="10"/>
      <c r="F14" s="10"/>
      <c r="G14" s="11"/>
      <c r="H14" s="10"/>
      <c r="I14" s="10"/>
    </row>
    <row r="15" spans="1:9" x14ac:dyDescent="0.25">
      <c r="A15" s="10"/>
      <c r="B15" s="10"/>
      <c r="C15" s="9"/>
      <c r="D15" s="11"/>
      <c r="E15" s="10"/>
      <c r="F15" s="10"/>
      <c r="G15" s="11"/>
      <c r="H15" s="10"/>
      <c r="I15" s="10"/>
    </row>
    <row r="16" spans="1:9" x14ac:dyDescent="0.25">
      <c r="A16" s="10"/>
      <c r="B16" s="10"/>
      <c r="C16" s="9"/>
      <c r="D16" s="11"/>
      <c r="E16" s="10"/>
      <c r="F16" s="10"/>
      <c r="G16" s="11"/>
      <c r="H16" s="10"/>
      <c r="I16" s="10"/>
    </row>
    <row r="17" spans="1:9" x14ac:dyDescent="0.25">
      <c r="A17" s="10"/>
      <c r="B17" s="10"/>
      <c r="C17" s="9"/>
      <c r="D17" s="11"/>
      <c r="E17" s="10"/>
      <c r="F17" s="10"/>
      <c r="G17" s="11"/>
      <c r="H17" s="10"/>
      <c r="I17" s="10"/>
    </row>
    <row r="18" spans="1:9" x14ac:dyDescent="0.25">
      <c r="A18" s="10"/>
      <c r="B18" s="10"/>
      <c r="C18" s="9"/>
      <c r="D18" s="11"/>
      <c r="E18" s="10"/>
      <c r="F18" s="10"/>
      <c r="G18" s="11"/>
      <c r="H18" s="10"/>
      <c r="I18" s="10"/>
    </row>
    <row r="19" spans="1:9" x14ac:dyDescent="0.25">
      <c r="A19" s="10"/>
      <c r="B19" s="10"/>
      <c r="C19" s="9"/>
      <c r="D19" s="11"/>
      <c r="E19" s="10"/>
      <c r="F19" s="10"/>
      <c r="G19" s="11"/>
      <c r="H19" s="10"/>
      <c r="I19" s="10"/>
    </row>
  </sheetData>
  <mergeCells count="1">
    <mergeCell ref="A1:I1"/>
  </mergeCells>
  <conditionalFormatting sqref="H1:H1048576">
    <cfRule type="containsText" dxfId="1" priority="1" operator="containsText" text="ORDER">
      <formula>NOT(ISERROR(SEARCH("ORDER",H1)))</formula>
    </cfRule>
    <cfRule type="containsText" dxfId="2" priority="2" operator="containsText" text="OK">
      <formula>NOT(ISERROR(SEARCH("OK",H1)))</formula>
    </cfRule>
    <cfRule type="containsText" dxfId="3" priority="3" operator="containsText" text="OK">
      <formula>NOT(ISERROR(SEARCH("OK",H1)))</formula>
    </cfRule>
    <cfRule type="containsText" dxfId="4" priority="4" operator="containsText" text="OK">
      <formula>NOT(ISERROR(SEARCH("OK",H1)))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beg bayramov</dc:creator>
  <cp:lastModifiedBy>beg bayramov</cp:lastModifiedBy>
  <dcterms:created xsi:type="dcterms:W3CDTF">2026-02-22T12:31:58Z</dcterms:created>
  <dcterms:modified xsi:type="dcterms:W3CDTF">2026-02-22T12:32:13Z</dcterms:modified>
</cp:coreProperties>
</file>