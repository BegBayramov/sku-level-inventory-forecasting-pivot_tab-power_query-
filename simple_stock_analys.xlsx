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eg\Desktop\proiecti\Supply Chain  Data Analyst\"/>
    </mc:Choice>
  </mc:AlternateContent>
  <xr:revisionPtr revIDLastSave="0" documentId="13_ncr:1_{4AFE37AC-3493-450C-B2EC-BE5FCB222B0D}" xr6:coauthVersionLast="47" xr6:coauthVersionMax="47" xr10:uidLastSave="{00000000-0000-0000-0000-000000000000}"/>
  <bookViews>
    <workbookView xWindow="-120" yWindow="-120" windowWidth="20730" windowHeight="11310" activeTab="1" xr2:uid="{00000000-000D-0000-FFFF-FFFF00000000}"/>
  </bookViews>
  <sheets>
    <sheet name="SalesTable" sheetId="2" r:id="rId1"/>
    <sheet name="avg_sales_daily" sheetId="3" r:id="rId2"/>
    <sheet name="Model" sheetId="1" r:id="rId3"/>
  </sheets>
  <externalReferences>
    <externalReference r:id="rId4"/>
  </externalReferences>
  <definedNames>
    <definedName name="ExternalData_1" localSheetId="0" hidden="1">SalesTable!$A$1:$D$811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6" i="1" l="1"/>
  <c r="I7" i="1"/>
  <c r="I8" i="1"/>
  <c r="I9" i="1"/>
  <c r="I10" i="1"/>
  <c r="I11" i="1"/>
  <c r="I12" i="1"/>
  <c r="I13" i="1"/>
  <c r="I5" i="1"/>
  <c r="F6" i="1"/>
  <c r="H6" i="1" s="1"/>
  <c r="F8" i="1"/>
  <c r="H8" i="1" s="1"/>
  <c r="F10" i="1"/>
  <c r="H10" i="1" s="1"/>
  <c r="F12" i="1"/>
  <c r="H12" i="1" s="1"/>
  <c r="F5" i="1"/>
  <c r="H5" i="1" s="1"/>
  <c r="E6" i="1"/>
  <c r="E7" i="1"/>
  <c r="F7" i="1" s="1"/>
  <c r="H7" i="1" s="1"/>
  <c r="E8" i="1"/>
  <c r="E9" i="1"/>
  <c r="F9" i="1" s="1"/>
  <c r="H9" i="1" s="1"/>
  <c r="E10" i="1"/>
  <c r="E11" i="1"/>
  <c r="F11" i="1" s="1"/>
  <c r="H11" i="1" s="1"/>
  <c r="E12" i="1"/>
  <c r="E13" i="1"/>
  <c r="F13" i="1" s="1"/>
  <c r="H13" i="1" s="1"/>
  <c r="E5" i="1"/>
  <c r="G5" i="1"/>
  <c r="G6" i="1"/>
  <c r="G8" i="1"/>
  <c r="G13" i="1" l="1"/>
  <c r="G11" i="1"/>
  <c r="G9" i="1"/>
  <c r="G7" i="1"/>
  <c r="G12" i="1"/>
  <c r="G1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19762F-BF4C-414F-B131-00B72D2EB33E}" keepAlive="1" name="Query - SalesTable" description="Connection to the 'SalesTable' query in the workbook." type="5" refreshedVersion="7" background="1" saveData="1">
    <dbPr connection="Provider=Microsoft.Mashup.OleDb.1;Data Source=$Workbook$;Location=SalesTable;Extended Properties=&quot;&quot;" command="SELECT * FROM [SalesTable]"/>
  </connection>
</connections>
</file>

<file path=xl/sharedStrings.xml><?xml version="1.0" encoding="utf-8"?>
<sst xmlns="http://schemas.openxmlformats.org/spreadsheetml/2006/main" count="1674" uniqueCount="20">
  <si>
    <t>Date</t>
  </si>
  <si>
    <t>SKU</t>
  </si>
  <si>
    <t>Warehouse</t>
  </si>
  <si>
    <t>Sales</t>
  </si>
  <si>
    <t>A</t>
  </si>
  <si>
    <t>Bucharest</t>
  </si>
  <si>
    <t>Cluj</t>
  </si>
  <si>
    <t>Timisoara</t>
  </si>
  <si>
    <t>B</t>
  </si>
  <si>
    <t>C</t>
  </si>
  <si>
    <t>Grand Total</t>
  </si>
  <si>
    <t>SKU-location forecasting + Reorder Point (ROP)</t>
  </si>
  <si>
    <t>Avg Daily Sales</t>
  </si>
  <si>
    <t>Lead Time (days)</t>
  </si>
  <si>
    <t>Safety Stock</t>
  </si>
  <si>
    <t>ROP</t>
  </si>
  <si>
    <t>Current Stock</t>
  </si>
  <si>
    <t>Status</t>
  </si>
  <si>
    <t>Forecast (7 days)</t>
  </si>
  <si>
    <t>Average of Daily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</si>
</sst>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i/>
      <sz val="11"/>
      <color rgb="FF404040"/>
      <name val="Calibri"/>
      <family val="2"/>
      <charset val="204"/>
    </font>
    <font>
      <b/>
      <sz val="11"/>
      <color rgb="FFFFFFFF"/>
      <name val="Calibri"/>
      <family val="2"/>
      <charset val="204"/>
    </font>
    <font>
      <sz val="11"/>
      <color rgb="FF0000FF"/>
      <name val="Calibri"/>
      <family val="2"/>
      <charset val="204"/>
    </font>
    <font>
      <sz val="8"/>
      <name val="Calibri"/>
      <family val="2"/>
      <scheme val="minor"/>
    </font>
    <font>
      <sz val="11"/>
      <name val="Calibri"/>
      <family val="2"/>
      <charset val="204"/>
    </font>
    <font>
      <sz val="11"/>
      <name val="Calibri"/>
      <family val="2"/>
      <scheme val="minor"/>
    </font>
    <font>
      <b/>
      <sz val="14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2" fontId="0" fillId="0" borderId="0" xfId="0" applyNumberForma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2" fontId="2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vertical="center"/>
    </xf>
    <xf numFmtId="0" fontId="1" fillId="0" borderId="0" xfId="0" applyFont="1" applyAlignment="1"/>
    <xf numFmtId="0" fontId="0" fillId="0" borderId="0" xfId="0" applyAlignment="1"/>
    <xf numFmtId="0" fontId="5" fillId="0" borderId="0" xfId="0" applyFont="1" applyAlignment="1">
      <alignment vertical="center"/>
    </xf>
    <xf numFmtId="0" fontId="6" fillId="0" borderId="0" xfId="0" applyFont="1" applyAlignment="1"/>
    <xf numFmtId="0" fontId="7" fillId="0" borderId="0" xfId="0" applyFont="1"/>
    <xf numFmtId="0" fontId="6" fillId="0" borderId="0" xfId="0" applyFont="1"/>
  </cellXfs>
  <cellStyles count="1">
    <cellStyle name="Normal" xfId="0" builtinId="0"/>
  </cellStyles>
  <dxfs count="45"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[simple_stock_analys.xlsx]avg_sales_daily!PivotTable1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o-R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o-R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avg_sales_daily!$C$3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avg_sales_daily!$A$4:$B$13</c:f>
              <c:multiLvlStrCache>
                <c:ptCount val="9"/>
                <c:lvl>
                  <c:pt idx="0">
                    <c:v>Bucharest</c:v>
                  </c:pt>
                  <c:pt idx="1">
                    <c:v>Cluj</c:v>
                  </c:pt>
                  <c:pt idx="2">
                    <c:v>Timisoara</c:v>
                  </c:pt>
                  <c:pt idx="3">
                    <c:v>Bucharest</c:v>
                  </c:pt>
                  <c:pt idx="4">
                    <c:v>Cluj</c:v>
                  </c:pt>
                  <c:pt idx="5">
                    <c:v>Timisoara</c:v>
                  </c:pt>
                  <c:pt idx="6">
                    <c:v>Bucharest</c:v>
                  </c:pt>
                  <c:pt idx="7">
                    <c:v>Cluj</c:v>
                  </c:pt>
                  <c:pt idx="8">
                    <c:v>Timisoara</c:v>
                  </c:pt>
                </c:lvl>
                <c:lvl>
                  <c:pt idx="0">
                    <c:v>A</c:v>
                  </c:pt>
                  <c:pt idx="3">
                    <c:v>B</c:v>
                  </c:pt>
                  <c:pt idx="6">
                    <c:v>C</c:v>
                  </c:pt>
                </c:lvl>
              </c:multiLvlStrCache>
            </c:multiLvlStrRef>
          </c:cat>
          <c:val>
            <c:numRef>
              <c:f>avg_sales_daily!$C$4:$C$13</c:f>
              <c:numCache>
                <c:formatCode>0.00</c:formatCode>
                <c:ptCount val="9"/>
                <c:pt idx="0">
                  <c:v>22.455555555555556</c:v>
                </c:pt>
                <c:pt idx="1">
                  <c:v>23.522222222222222</c:v>
                </c:pt>
                <c:pt idx="2">
                  <c:v>22.322222222222223</c:v>
                </c:pt>
                <c:pt idx="3">
                  <c:v>20.711111111111112</c:v>
                </c:pt>
                <c:pt idx="4">
                  <c:v>20.488888888888887</c:v>
                </c:pt>
                <c:pt idx="5">
                  <c:v>22.155555555555555</c:v>
                </c:pt>
                <c:pt idx="6">
                  <c:v>21.555555555555557</c:v>
                </c:pt>
                <c:pt idx="7">
                  <c:v>22.788888888888888</c:v>
                </c:pt>
                <c:pt idx="8">
                  <c:v>22.888888888888889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3E-4B85-94D7-BC43935C59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29249455"/>
        <c:axId val="491665839"/>
      </c:barChart>
      <c:catAx>
        <c:axId val="429249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o-RO"/>
          </a:p>
        </c:txPr>
        <c:crossAx val="491665839"/>
        <c:crosses val="autoZero"/>
        <c:auto val="1"/>
        <c:lblAlgn val="ctr"/>
        <c:lblOffset val="100"/>
        <c:noMultiLvlLbl val="0"/>
      </c:catAx>
      <c:valAx>
        <c:axId val="491665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o-RO"/>
          </a:p>
        </c:txPr>
        <c:crossAx val="429249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o-R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o-R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561974</xdr:colOff>
      <xdr:row>2</xdr:row>
      <xdr:rowOff>14287</xdr:rowOff>
    </xdr:from>
    <xdr:to>
      <xdr:col>9</xdr:col>
      <xdr:colOff>9524</xdr:colOff>
      <xdr:row>16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681C1A-AB2B-46E4-839C-C7602BC625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ow_level_forecast_ROP_90day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es_Data"/>
      <sheetName val="Avg_sales"/>
      <sheetName val="Лист1"/>
      <sheetName val="Forecast_ROP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g" refreshedDate="46075.550612268518" createdVersion="7" refreshedVersion="7" minRefreshableVersion="3" recordCount="810" xr:uid="{80AA4712-9BA1-4C32-A536-6F2B3F601502}">
  <cacheSource type="worksheet">
    <worksheetSource name="SalesTable"/>
  </cacheSource>
  <cacheFields count="5">
    <cacheField name="Date" numFmtId="14">
      <sharedItems containsSemiMixedTypes="0" containsNonDate="0" containsDate="1" containsString="0" minDate="2025-01-01T00:00:00" maxDate="2025-04-01T00:00:00" count="90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</sharedItems>
      <fieldGroup par="4" base="0">
        <rangePr groupBy="days" startDate="2025-01-01T00:00:00" endDate="2025-04-01T00:00:00"/>
        <groupItems count="368">
          <s v="&lt;01.01.2025"/>
          <s v="01.ian"/>
          <s v="02.ian"/>
          <s v="03.ian"/>
          <s v="04.ian"/>
          <s v="05.ian"/>
          <s v="06.ian"/>
          <s v="07.ian"/>
          <s v="08.ian"/>
          <s v="09.ian"/>
          <s v="10.ian"/>
          <s v="11.ian"/>
          <s v="12.ian"/>
          <s v="13.ian"/>
          <s v="14.ian"/>
          <s v="15.ian"/>
          <s v="16.ian"/>
          <s v="17.ian"/>
          <s v="18.ian"/>
          <s v="19.ian"/>
          <s v="20.ian"/>
          <s v="21.ian"/>
          <s v="22.ian"/>
          <s v="23.ian"/>
          <s v="24.ian"/>
          <s v="25.ian"/>
          <s v="26.ian"/>
          <s v="27.ian"/>
          <s v="28.ian"/>
          <s v="29.ian"/>
          <s v="30.ian"/>
          <s v="31.ian"/>
          <s v="01.feb"/>
          <s v="02.feb"/>
          <s v="03.feb"/>
          <s v="04.feb"/>
          <s v="05.feb"/>
          <s v="06.feb"/>
          <s v="07.feb"/>
          <s v="08.feb"/>
          <s v="09.feb"/>
          <s v="10.feb"/>
          <s v="11.feb"/>
          <s v="12.feb"/>
          <s v="13.feb"/>
          <s v="14.feb"/>
          <s v="15.feb"/>
          <s v="16.feb"/>
          <s v="17.feb"/>
          <s v="18.feb"/>
          <s v="19.feb"/>
          <s v="20.feb"/>
          <s v="21.feb"/>
          <s v="22.feb"/>
          <s v="23.feb"/>
          <s v="24.feb"/>
          <s v="25.feb"/>
          <s v="26.feb"/>
          <s v="27.feb"/>
          <s v="28.feb"/>
          <s v="29.feb"/>
          <s v="01.mar"/>
          <s v="02.mar"/>
          <s v="03.mar"/>
          <s v="04.mar"/>
          <s v="05.mar"/>
          <s v="06.mar"/>
          <s v="07.mar"/>
          <s v="08.mar"/>
          <s v="0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01.apr"/>
          <s v="02.apr"/>
          <s v="03.apr"/>
          <s v="04.apr"/>
          <s v="05.apr"/>
          <s v="06.apr"/>
          <s v="07.apr"/>
          <s v="08.apr"/>
          <s v="09.apr"/>
          <s v="10.apr"/>
          <s v="11.apr"/>
          <s v="12.apr"/>
          <s v="13.apr"/>
          <s v="14.apr"/>
          <s v="15.apr"/>
          <s v="16.apr"/>
          <s v="17.apr"/>
          <s v="18.apr"/>
          <s v="19.apr"/>
          <s v="20.apr"/>
          <s v="21.apr"/>
          <s v="22.apr"/>
          <s v="23.apr"/>
          <s v="24.apr"/>
          <s v="25.apr"/>
          <s v="26.apr"/>
          <s v="27.apr"/>
          <s v="28.apr"/>
          <s v="29.apr"/>
          <s v="30.apr"/>
          <s v="01.mai"/>
          <s v="02.mai"/>
          <s v="03.mai"/>
          <s v="04.mai"/>
          <s v="05.mai"/>
          <s v="06.mai"/>
          <s v="07.mai"/>
          <s v="08.mai"/>
          <s v="09.mai"/>
          <s v="10.mai"/>
          <s v="11.mai"/>
          <s v="12.mai"/>
          <s v="13.mai"/>
          <s v="14.mai"/>
          <s v="15.mai"/>
          <s v="16.mai"/>
          <s v="17.mai"/>
          <s v="18.mai"/>
          <s v="19.mai"/>
          <s v="20.mai"/>
          <s v="21.mai"/>
          <s v="22.mai"/>
          <s v="23.mai"/>
          <s v="24.mai"/>
          <s v="25.mai"/>
          <s v="26.mai"/>
          <s v="27.mai"/>
          <s v="28.mai"/>
          <s v="29.mai"/>
          <s v="30.mai"/>
          <s v="31.mai"/>
          <s v="01.iun"/>
          <s v="02.iun"/>
          <s v="03.iun"/>
          <s v="04.iun"/>
          <s v="05.iun"/>
          <s v="06.iun"/>
          <s v="07.iun"/>
          <s v="08.iun"/>
          <s v="09.iun"/>
          <s v="10.iun"/>
          <s v="11.iun"/>
          <s v="12.iun"/>
          <s v="13.iun"/>
          <s v="14.iun"/>
          <s v="15.iun"/>
          <s v="16.iun"/>
          <s v="17.iun"/>
          <s v="18.iun"/>
          <s v="19.iun"/>
          <s v="20.iun"/>
          <s v="21.iun"/>
          <s v="22.iun"/>
          <s v="23.iun"/>
          <s v="24.iun"/>
          <s v="25.iun"/>
          <s v="26.iun"/>
          <s v="27.iun"/>
          <s v="28.iun"/>
          <s v="29.iun"/>
          <s v="30.iun"/>
          <s v="01.iul"/>
          <s v="02.iul"/>
          <s v="03.iul"/>
          <s v="04.iul"/>
          <s v="05.iul"/>
          <s v="06.iul"/>
          <s v="07.iul"/>
          <s v="08.iul"/>
          <s v="09.iul"/>
          <s v="10.iul"/>
          <s v="11.iul"/>
          <s v="12.iul"/>
          <s v="13.iul"/>
          <s v="14.iul"/>
          <s v="15.iul"/>
          <s v="16.iul"/>
          <s v="17.iul"/>
          <s v="18.iul"/>
          <s v="19.iul"/>
          <s v="20.iul"/>
          <s v="21.iul"/>
          <s v="22.iul"/>
          <s v="23.iul"/>
          <s v="24.iul"/>
          <s v="25.iul"/>
          <s v="26.iul"/>
          <s v="27.iul"/>
          <s v="28.iul"/>
          <s v="29.iul"/>
          <s v="30.iul"/>
          <s v="31.iul"/>
          <s v="01.aug"/>
          <s v="02.aug"/>
          <s v="03.aug"/>
          <s v="04.aug"/>
          <s v="05.aug"/>
          <s v="06.aug"/>
          <s v="07.aug"/>
          <s v="08.aug"/>
          <s v="09.aug"/>
          <s v="10.aug"/>
          <s v="11.aug"/>
          <s v="12.aug"/>
          <s v="13.aug"/>
          <s v="14.aug"/>
          <s v="15.aug"/>
          <s v="16.aug"/>
          <s v="17.aug"/>
          <s v="18.aug"/>
          <s v="19.aug"/>
          <s v="20.aug"/>
          <s v="21.aug"/>
          <s v="22.aug"/>
          <s v="23.aug"/>
          <s v="24.aug"/>
          <s v="25.aug"/>
          <s v="26.aug"/>
          <s v="27.aug"/>
          <s v="28.aug"/>
          <s v="29.aug"/>
          <s v="30.aug"/>
          <s v="31.aug"/>
          <s v="01.sept"/>
          <s v="02.sept"/>
          <s v="03.sept"/>
          <s v="04.sept"/>
          <s v="05.sept"/>
          <s v="06.sept"/>
          <s v="07.sept"/>
          <s v="08.sept"/>
          <s v="09.sept"/>
          <s v="10.sept"/>
          <s v="11.sept"/>
          <s v="12.sept"/>
          <s v="13.sept"/>
          <s v="14.sept"/>
          <s v="15.sept"/>
          <s v="16.sept"/>
          <s v="17.sept"/>
          <s v="18.sept"/>
          <s v="19.sept"/>
          <s v="20.sept"/>
          <s v="21.sept"/>
          <s v="22.sept"/>
          <s v="23.sept"/>
          <s v="24.sept"/>
          <s v="25.sept"/>
          <s v="26.sept"/>
          <s v="27.sept"/>
          <s v="28.sept"/>
          <s v="29.sept"/>
          <s v="30.sept"/>
          <s v="01.oct"/>
          <s v="02.oct"/>
          <s v="03.oct"/>
          <s v="04.oct"/>
          <s v="05.oct"/>
          <s v="06.oct"/>
          <s v="07.oct"/>
          <s v="08.oct"/>
          <s v="09.oct"/>
          <s v="10.oct"/>
          <s v="11.oct"/>
          <s v="12.oct"/>
          <s v="13.oct"/>
          <s v="14.oct"/>
          <s v="15.oct"/>
          <s v="16.oct"/>
          <s v="17.oct"/>
          <s v="18.oct"/>
          <s v="19.oct"/>
          <s v="20.oct"/>
          <s v="21.oct"/>
          <s v="22.oct"/>
          <s v="23.oct"/>
          <s v="24.oct"/>
          <s v="25.oct"/>
          <s v="26.oct"/>
          <s v="27.oct"/>
          <s v="28.oct"/>
          <s v="29.oct"/>
          <s v="30.oct"/>
          <s v="31.oct"/>
          <s v="01.nov"/>
          <s v="02.nov"/>
          <s v="03.nov"/>
          <s v="04.nov"/>
          <s v="05.nov"/>
          <s v="06.nov"/>
          <s v="07.nov"/>
          <s v="08.nov"/>
          <s v="09.nov"/>
          <s v="10.nov"/>
          <s v="11.nov"/>
          <s v="12.nov"/>
          <s v="13.nov"/>
          <s v="14.nov"/>
          <s v="15.nov"/>
          <s v="16.nov"/>
          <s v="17.nov"/>
          <s v="18.nov"/>
          <s v="19.nov"/>
          <s v="20.nov"/>
          <s v="21.nov"/>
          <s v="22.nov"/>
          <s v="23.nov"/>
          <s v="24.nov"/>
          <s v="25.nov"/>
          <s v="26.nov"/>
          <s v="27.nov"/>
          <s v="28.nov"/>
          <s v="29.nov"/>
          <s v="30.nov"/>
          <s v="01.dec"/>
          <s v="02.dec"/>
          <s v="03.dec"/>
          <s v="04.dec"/>
          <s v="05.dec"/>
          <s v="06.dec"/>
          <s v="07.dec"/>
          <s v="08.dec"/>
          <s v="09.dec"/>
          <s v="10.dec"/>
          <s v="11.dec"/>
          <s v="12.dec"/>
          <s v="13.dec"/>
          <s v="14.dec"/>
          <s v="15.dec"/>
          <s v="16.dec"/>
          <s v="17.dec"/>
          <s v="18.dec"/>
          <s v="19.dec"/>
          <s v="20.dec"/>
          <s v="21.dec"/>
          <s v="22.dec"/>
          <s v="23.dec"/>
          <s v="24.dec"/>
          <s v="25.dec"/>
          <s v="26.dec"/>
          <s v="27.dec"/>
          <s v="28.dec"/>
          <s v="29.dec"/>
          <s v="30.dec"/>
          <s v="31.dec"/>
          <s v="&gt;01.04.2025"/>
        </groupItems>
      </fieldGroup>
    </cacheField>
    <cacheField name="SKU" numFmtId="0">
      <sharedItems count="3">
        <s v="A"/>
        <s v="B"/>
        <s v="C"/>
      </sharedItems>
    </cacheField>
    <cacheField name="Warehouse" numFmtId="0">
      <sharedItems count="3">
        <s v="Bucharest"/>
        <s v="Cluj"/>
        <s v="Timisoara"/>
      </sharedItems>
    </cacheField>
    <cacheField name="Sales" numFmtId="0">
      <sharedItems containsSemiMixedTypes="0" containsString="0" containsNumber="1" containsInteger="1" minValue="5" maxValue="40"/>
    </cacheField>
    <cacheField name="Months" numFmtId="0" databaseField="0">
      <fieldGroup base="0">
        <rangePr groupBy="months" startDate="2025-01-01T00:00:00" endDate="2025-04-01T00:00:00"/>
        <groupItems count="14">
          <s v="&lt;01.01.2025"/>
          <s v="ian"/>
          <s v="feb"/>
          <s v="mar"/>
          <s v="apr"/>
          <s v="mai"/>
          <s v="iun"/>
          <s v="iul"/>
          <s v="aug"/>
          <s v="sept"/>
          <s v="oct"/>
          <s v="nov"/>
          <s v="dec"/>
          <s v="&gt;01.04.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0">
  <r>
    <x v="0"/>
    <x v="0"/>
    <x v="0"/>
    <n v="9"/>
  </r>
  <r>
    <x v="0"/>
    <x v="0"/>
    <x v="1"/>
    <n v="24"/>
  </r>
  <r>
    <x v="0"/>
    <x v="0"/>
    <x v="2"/>
    <n v="23"/>
  </r>
  <r>
    <x v="0"/>
    <x v="1"/>
    <x v="0"/>
    <n v="10"/>
  </r>
  <r>
    <x v="0"/>
    <x v="1"/>
    <x v="1"/>
    <n v="35"/>
  </r>
  <r>
    <x v="0"/>
    <x v="1"/>
    <x v="2"/>
    <n v="36"/>
  </r>
  <r>
    <x v="0"/>
    <x v="2"/>
    <x v="0"/>
    <n v="10"/>
  </r>
  <r>
    <x v="0"/>
    <x v="2"/>
    <x v="1"/>
    <n v="10"/>
  </r>
  <r>
    <x v="0"/>
    <x v="2"/>
    <x v="2"/>
    <n v="6"/>
  </r>
  <r>
    <x v="1"/>
    <x v="0"/>
    <x v="0"/>
    <n v="21"/>
  </r>
  <r>
    <x v="1"/>
    <x v="0"/>
    <x v="1"/>
    <n v="16"/>
  </r>
  <r>
    <x v="1"/>
    <x v="0"/>
    <x v="2"/>
    <n v="39"/>
  </r>
  <r>
    <x v="1"/>
    <x v="1"/>
    <x v="0"/>
    <n v="40"/>
  </r>
  <r>
    <x v="1"/>
    <x v="1"/>
    <x v="1"/>
    <n v="39"/>
  </r>
  <r>
    <x v="1"/>
    <x v="1"/>
    <x v="2"/>
    <n v="8"/>
  </r>
  <r>
    <x v="1"/>
    <x v="2"/>
    <x v="0"/>
    <n v="9"/>
  </r>
  <r>
    <x v="1"/>
    <x v="2"/>
    <x v="1"/>
    <n v="5"/>
  </r>
  <r>
    <x v="1"/>
    <x v="2"/>
    <x v="2"/>
    <n v="16"/>
  </r>
  <r>
    <x v="2"/>
    <x v="0"/>
    <x v="0"/>
    <n v="18"/>
  </r>
  <r>
    <x v="2"/>
    <x v="0"/>
    <x v="1"/>
    <n v="31"/>
  </r>
  <r>
    <x v="2"/>
    <x v="0"/>
    <x v="2"/>
    <n v="32"/>
  </r>
  <r>
    <x v="2"/>
    <x v="1"/>
    <x v="0"/>
    <n v="20"/>
  </r>
  <r>
    <x v="2"/>
    <x v="1"/>
    <x v="1"/>
    <n v="32"/>
  </r>
  <r>
    <x v="2"/>
    <x v="1"/>
    <x v="2"/>
    <n v="28"/>
  </r>
  <r>
    <x v="2"/>
    <x v="2"/>
    <x v="0"/>
    <n v="10"/>
  </r>
  <r>
    <x v="2"/>
    <x v="2"/>
    <x v="1"/>
    <n v="30"/>
  </r>
  <r>
    <x v="2"/>
    <x v="2"/>
    <x v="2"/>
    <n v="29"/>
  </r>
  <r>
    <x v="3"/>
    <x v="0"/>
    <x v="0"/>
    <n v="27"/>
  </r>
  <r>
    <x v="3"/>
    <x v="0"/>
    <x v="1"/>
    <n v="7"/>
  </r>
  <r>
    <x v="3"/>
    <x v="0"/>
    <x v="2"/>
    <n v="40"/>
  </r>
  <r>
    <x v="3"/>
    <x v="1"/>
    <x v="0"/>
    <n v="40"/>
  </r>
  <r>
    <x v="3"/>
    <x v="1"/>
    <x v="1"/>
    <n v="27"/>
  </r>
  <r>
    <x v="3"/>
    <x v="1"/>
    <x v="2"/>
    <n v="24"/>
  </r>
  <r>
    <x v="3"/>
    <x v="2"/>
    <x v="0"/>
    <n v="5"/>
  </r>
  <r>
    <x v="3"/>
    <x v="2"/>
    <x v="1"/>
    <n v="12"/>
  </r>
  <r>
    <x v="3"/>
    <x v="2"/>
    <x v="2"/>
    <n v="7"/>
  </r>
  <r>
    <x v="4"/>
    <x v="0"/>
    <x v="0"/>
    <n v="11"/>
  </r>
  <r>
    <x v="4"/>
    <x v="0"/>
    <x v="1"/>
    <n v="31"/>
  </r>
  <r>
    <x v="4"/>
    <x v="0"/>
    <x v="2"/>
    <n v="18"/>
  </r>
  <r>
    <x v="4"/>
    <x v="1"/>
    <x v="0"/>
    <n v="11"/>
  </r>
  <r>
    <x v="4"/>
    <x v="1"/>
    <x v="1"/>
    <n v="19"/>
  </r>
  <r>
    <x v="4"/>
    <x v="1"/>
    <x v="2"/>
    <n v="8"/>
  </r>
  <r>
    <x v="4"/>
    <x v="2"/>
    <x v="0"/>
    <n v="17"/>
  </r>
  <r>
    <x v="4"/>
    <x v="2"/>
    <x v="1"/>
    <n v="39"/>
  </r>
  <r>
    <x v="4"/>
    <x v="2"/>
    <x v="2"/>
    <n v="28"/>
  </r>
  <r>
    <x v="5"/>
    <x v="0"/>
    <x v="0"/>
    <n v="8"/>
  </r>
  <r>
    <x v="5"/>
    <x v="0"/>
    <x v="1"/>
    <n v="28"/>
  </r>
  <r>
    <x v="5"/>
    <x v="0"/>
    <x v="2"/>
    <n v="11"/>
  </r>
  <r>
    <x v="5"/>
    <x v="1"/>
    <x v="0"/>
    <n v="25"/>
  </r>
  <r>
    <x v="5"/>
    <x v="1"/>
    <x v="1"/>
    <n v="5"/>
  </r>
  <r>
    <x v="5"/>
    <x v="1"/>
    <x v="2"/>
    <n v="29"/>
  </r>
  <r>
    <x v="5"/>
    <x v="2"/>
    <x v="0"/>
    <n v="20"/>
  </r>
  <r>
    <x v="5"/>
    <x v="2"/>
    <x v="1"/>
    <n v="15"/>
  </r>
  <r>
    <x v="5"/>
    <x v="2"/>
    <x v="2"/>
    <n v="8"/>
  </r>
  <r>
    <x v="6"/>
    <x v="0"/>
    <x v="0"/>
    <n v="6"/>
  </r>
  <r>
    <x v="6"/>
    <x v="0"/>
    <x v="1"/>
    <n v="22"/>
  </r>
  <r>
    <x v="6"/>
    <x v="0"/>
    <x v="2"/>
    <n v="27"/>
  </r>
  <r>
    <x v="6"/>
    <x v="1"/>
    <x v="0"/>
    <n v="23"/>
  </r>
  <r>
    <x v="6"/>
    <x v="1"/>
    <x v="1"/>
    <n v="6"/>
  </r>
  <r>
    <x v="6"/>
    <x v="1"/>
    <x v="2"/>
    <n v="31"/>
  </r>
  <r>
    <x v="6"/>
    <x v="2"/>
    <x v="0"/>
    <n v="28"/>
  </r>
  <r>
    <x v="6"/>
    <x v="2"/>
    <x v="1"/>
    <n v="22"/>
  </r>
  <r>
    <x v="6"/>
    <x v="2"/>
    <x v="2"/>
    <n v="9"/>
  </r>
  <r>
    <x v="7"/>
    <x v="0"/>
    <x v="0"/>
    <n v="35"/>
  </r>
  <r>
    <x v="7"/>
    <x v="0"/>
    <x v="1"/>
    <n v="27"/>
  </r>
  <r>
    <x v="7"/>
    <x v="0"/>
    <x v="2"/>
    <n v="5"/>
  </r>
  <r>
    <x v="7"/>
    <x v="1"/>
    <x v="0"/>
    <n v="32"/>
  </r>
  <r>
    <x v="7"/>
    <x v="1"/>
    <x v="1"/>
    <n v="23"/>
  </r>
  <r>
    <x v="7"/>
    <x v="1"/>
    <x v="2"/>
    <n v="19"/>
  </r>
  <r>
    <x v="7"/>
    <x v="2"/>
    <x v="0"/>
    <n v="33"/>
  </r>
  <r>
    <x v="7"/>
    <x v="2"/>
    <x v="1"/>
    <n v="37"/>
  </r>
  <r>
    <x v="7"/>
    <x v="2"/>
    <x v="2"/>
    <n v="34"/>
  </r>
  <r>
    <x v="8"/>
    <x v="0"/>
    <x v="0"/>
    <n v="11"/>
  </r>
  <r>
    <x v="8"/>
    <x v="0"/>
    <x v="1"/>
    <n v="21"/>
  </r>
  <r>
    <x v="8"/>
    <x v="0"/>
    <x v="2"/>
    <n v="34"/>
  </r>
  <r>
    <x v="8"/>
    <x v="1"/>
    <x v="0"/>
    <n v="10"/>
  </r>
  <r>
    <x v="8"/>
    <x v="1"/>
    <x v="1"/>
    <n v="7"/>
  </r>
  <r>
    <x v="8"/>
    <x v="1"/>
    <x v="2"/>
    <n v="24"/>
  </r>
  <r>
    <x v="8"/>
    <x v="2"/>
    <x v="0"/>
    <n v="22"/>
  </r>
  <r>
    <x v="8"/>
    <x v="2"/>
    <x v="1"/>
    <n v="18"/>
  </r>
  <r>
    <x v="8"/>
    <x v="2"/>
    <x v="2"/>
    <n v="28"/>
  </r>
  <r>
    <x v="9"/>
    <x v="0"/>
    <x v="0"/>
    <n v="17"/>
  </r>
  <r>
    <x v="9"/>
    <x v="0"/>
    <x v="1"/>
    <n v="20"/>
  </r>
  <r>
    <x v="9"/>
    <x v="0"/>
    <x v="2"/>
    <n v="21"/>
  </r>
  <r>
    <x v="9"/>
    <x v="1"/>
    <x v="0"/>
    <n v="39"/>
  </r>
  <r>
    <x v="9"/>
    <x v="1"/>
    <x v="1"/>
    <n v="22"/>
  </r>
  <r>
    <x v="9"/>
    <x v="1"/>
    <x v="2"/>
    <n v="10"/>
  </r>
  <r>
    <x v="9"/>
    <x v="2"/>
    <x v="0"/>
    <n v="17"/>
  </r>
  <r>
    <x v="9"/>
    <x v="2"/>
    <x v="1"/>
    <n v="24"/>
  </r>
  <r>
    <x v="9"/>
    <x v="2"/>
    <x v="2"/>
    <n v="37"/>
  </r>
  <r>
    <x v="10"/>
    <x v="0"/>
    <x v="0"/>
    <n v="36"/>
  </r>
  <r>
    <x v="10"/>
    <x v="0"/>
    <x v="1"/>
    <n v="33"/>
  </r>
  <r>
    <x v="10"/>
    <x v="0"/>
    <x v="2"/>
    <n v="36"/>
  </r>
  <r>
    <x v="10"/>
    <x v="1"/>
    <x v="0"/>
    <n v="33"/>
  </r>
  <r>
    <x v="10"/>
    <x v="1"/>
    <x v="1"/>
    <n v="5"/>
  </r>
  <r>
    <x v="10"/>
    <x v="1"/>
    <x v="2"/>
    <n v="38"/>
  </r>
  <r>
    <x v="10"/>
    <x v="2"/>
    <x v="0"/>
    <n v="25"/>
  </r>
  <r>
    <x v="10"/>
    <x v="2"/>
    <x v="1"/>
    <n v="31"/>
  </r>
  <r>
    <x v="10"/>
    <x v="2"/>
    <x v="2"/>
    <n v="15"/>
  </r>
  <r>
    <x v="11"/>
    <x v="0"/>
    <x v="0"/>
    <n v="22"/>
  </r>
  <r>
    <x v="11"/>
    <x v="0"/>
    <x v="1"/>
    <n v="19"/>
  </r>
  <r>
    <x v="11"/>
    <x v="0"/>
    <x v="2"/>
    <n v="11"/>
  </r>
  <r>
    <x v="11"/>
    <x v="1"/>
    <x v="0"/>
    <n v="25"/>
  </r>
  <r>
    <x v="11"/>
    <x v="1"/>
    <x v="1"/>
    <n v="21"/>
  </r>
  <r>
    <x v="11"/>
    <x v="1"/>
    <x v="2"/>
    <n v="10"/>
  </r>
  <r>
    <x v="11"/>
    <x v="2"/>
    <x v="0"/>
    <n v="16"/>
  </r>
  <r>
    <x v="11"/>
    <x v="2"/>
    <x v="1"/>
    <n v="19"/>
  </r>
  <r>
    <x v="11"/>
    <x v="2"/>
    <x v="2"/>
    <n v="37"/>
  </r>
  <r>
    <x v="12"/>
    <x v="0"/>
    <x v="0"/>
    <n v="17"/>
  </r>
  <r>
    <x v="12"/>
    <x v="0"/>
    <x v="1"/>
    <n v="11"/>
  </r>
  <r>
    <x v="12"/>
    <x v="0"/>
    <x v="2"/>
    <n v="10"/>
  </r>
  <r>
    <x v="12"/>
    <x v="1"/>
    <x v="0"/>
    <n v="8"/>
  </r>
  <r>
    <x v="12"/>
    <x v="1"/>
    <x v="1"/>
    <n v="7"/>
  </r>
  <r>
    <x v="12"/>
    <x v="1"/>
    <x v="2"/>
    <n v="40"/>
  </r>
  <r>
    <x v="12"/>
    <x v="2"/>
    <x v="0"/>
    <n v="36"/>
  </r>
  <r>
    <x v="12"/>
    <x v="2"/>
    <x v="1"/>
    <n v="14"/>
  </r>
  <r>
    <x v="12"/>
    <x v="2"/>
    <x v="2"/>
    <n v="22"/>
  </r>
  <r>
    <x v="13"/>
    <x v="0"/>
    <x v="0"/>
    <n v="29"/>
  </r>
  <r>
    <x v="13"/>
    <x v="0"/>
    <x v="1"/>
    <n v="7"/>
  </r>
  <r>
    <x v="13"/>
    <x v="0"/>
    <x v="2"/>
    <n v="13"/>
  </r>
  <r>
    <x v="13"/>
    <x v="1"/>
    <x v="0"/>
    <n v="7"/>
  </r>
  <r>
    <x v="13"/>
    <x v="1"/>
    <x v="1"/>
    <n v="7"/>
  </r>
  <r>
    <x v="13"/>
    <x v="1"/>
    <x v="2"/>
    <n v="37"/>
  </r>
  <r>
    <x v="13"/>
    <x v="2"/>
    <x v="0"/>
    <n v="8"/>
  </r>
  <r>
    <x v="13"/>
    <x v="2"/>
    <x v="1"/>
    <n v="13"/>
  </r>
  <r>
    <x v="13"/>
    <x v="2"/>
    <x v="2"/>
    <n v="13"/>
  </r>
  <r>
    <x v="14"/>
    <x v="0"/>
    <x v="0"/>
    <n v="15"/>
  </r>
  <r>
    <x v="14"/>
    <x v="0"/>
    <x v="1"/>
    <n v="36"/>
  </r>
  <r>
    <x v="14"/>
    <x v="0"/>
    <x v="2"/>
    <n v="37"/>
  </r>
  <r>
    <x v="14"/>
    <x v="1"/>
    <x v="0"/>
    <n v="10"/>
  </r>
  <r>
    <x v="14"/>
    <x v="1"/>
    <x v="1"/>
    <n v="14"/>
  </r>
  <r>
    <x v="14"/>
    <x v="1"/>
    <x v="2"/>
    <n v="37"/>
  </r>
  <r>
    <x v="14"/>
    <x v="2"/>
    <x v="0"/>
    <n v="27"/>
  </r>
  <r>
    <x v="14"/>
    <x v="2"/>
    <x v="1"/>
    <n v="38"/>
  </r>
  <r>
    <x v="14"/>
    <x v="2"/>
    <x v="2"/>
    <n v="35"/>
  </r>
  <r>
    <x v="15"/>
    <x v="0"/>
    <x v="0"/>
    <n v="23"/>
  </r>
  <r>
    <x v="15"/>
    <x v="0"/>
    <x v="1"/>
    <n v="27"/>
  </r>
  <r>
    <x v="15"/>
    <x v="0"/>
    <x v="2"/>
    <n v="32"/>
  </r>
  <r>
    <x v="15"/>
    <x v="1"/>
    <x v="0"/>
    <n v="12"/>
  </r>
  <r>
    <x v="15"/>
    <x v="1"/>
    <x v="1"/>
    <n v="39"/>
  </r>
  <r>
    <x v="15"/>
    <x v="1"/>
    <x v="2"/>
    <n v="18"/>
  </r>
  <r>
    <x v="15"/>
    <x v="2"/>
    <x v="0"/>
    <n v="8"/>
  </r>
  <r>
    <x v="15"/>
    <x v="2"/>
    <x v="1"/>
    <n v="19"/>
  </r>
  <r>
    <x v="15"/>
    <x v="2"/>
    <x v="2"/>
    <n v="22"/>
  </r>
  <r>
    <x v="16"/>
    <x v="0"/>
    <x v="0"/>
    <n v="38"/>
  </r>
  <r>
    <x v="16"/>
    <x v="0"/>
    <x v="1"/>
    <n v="24"/>
  </r>
  <r>
    <x v="16"/>
    <x v="0"/>
    <x v="2"/>
    <n v="17"/>
  </r>
  <r>
    <x v="16"/>
    <x v="1"/>
    <x v="0"/>
    <n v="6"/>
  </r>
  <r>
    <x v="16"/>
    <x v="1"/>
    <x v="1"/>
    <n v="21"/>
  </r>
  <r>
    <x v="16"/>
    <x v="1"/>
    <x v="2"/>
    <n v="7"/>
  </r>
  <r>
    <x v="16"/>
    <x v="2"/>
    <x v="0"/>
    <n v="6"/>
  </r>
  <r>
    <x v="16"/>
    <x v="2"/>
    <x v="1"/>
    <n v="33"/>
  </r>
  <r>
    <x v="16"/>
    <x v="2"/>
    <x v="2"/>
    <n v="31"/>
  </r>
  <r>
    <x v="17"/>
    <x v="0"/>
    <x v="0"/>
    <n v="39"/>
  </r>
  <r>
    <x v="17"/>
    <x v="0"/>
    <x v="1"/>
    <n v="5"/>
  </r>
  <r>
    <x v="17"/>
    <x v="0"/>
    <x v="2"/>
    <n v="36"/>
  </r>
  <r>
    <x v="17"/>
    <x v="1"/>
    <x v="0"/>
    <n v="35"/>
  </r>
  <r>
    <x v="17"/>
    <x v="1"/>
    <x v="1"/>
    <n v="34"/>
  </r>
  <r>
    <x v="17"/>
    <x v="1"/>
    <x v="2"/>
    <n v="27"/>
  </r>
  <r>
    <x v="17"/>
    <x v="2"/>
    <x v="0"/>
    <n v="21"/>
  </r>
  <r>
    <x v="17"/>
    <x v="2"/>
    <x v="1"/>
    <n v="39"/>
  </r>
  <r>
    <x v="17"/>
    <x v="2"/>
    <x v="2"/>
    <n v="25"/>
  </r>
  <r>
    <x v="18"/>
    <x v="0"/>
    <x v="0"/>
    <n v="12"/>
  </r>
  <r>
    <x v="18"/>
    <x v="0"/>
    <x v="1"/>
    <n v="37"/>
  </r>
  <r>
    <x v="18"/>
    <x v="0"/>
    <x v="2"/>
    <n v="21"/>
  </r>
  <r>
    <x v="18"/>
    <x v="1"/>
    <x v="0"/>
    <n v="21"/>
  </r>
  <r>
    <x v="18"/>
    <x v="1"/>
    <x v="1"/>
    <n v="29"/>
  </r>
  <r>
    <x v="18"/>
    <x v="1"/>
    <x v="2"/>
    <n v="32"/>
  </r>
  <r>
    <x v="18"/>
    <x v="2"/>
    <x v="0"/>
    <n v="18"/>
  </r>
  <r>
    <x v="18"/>
    <x v="2"/>
    <x v="1"/>
    <n v="6"/>
  </r>
  <r>
    <x v="18"/>
    <x v="2"/>
    <x v="2"/>
    <n v="5"/>
  </r>
  <r>
    <x v="19"/>
    <x v="0"/>
    <x v="0"/>
    <n v="30"/>
  </r>
  <r>
    <x v="19"/>
    <x v="0"/>
    <x v="1"/>
    <n v="39"/>
  </r>
  <r>
    <x v="19"/>
    <x v="0"/>
    <x v="2"/>
    <n v="8"/>
  </r>
  <r>
    <x v="19"/>
    <x v="1"/>
    <x v="0"/>
    <n v="9"/>
  </r>
  <r>
    <x v="19"/>
    <x v="1"/>
    <x v="1"/>
    <n v="10"/>
  </r>
  <r>
    <x v="19"/>
    <x v="1"/>
    <x v="2"/>
    <n v="20"/>
  </r>
  <r>
    <x v="19"/>
    <x v="2"/>
    <x v="0"/>
    <n v="32"/>
  </r>
  <r>
    <x v="19"/>
    <x v="2"/>
    <x v="1"/>
    <n v="26"/>
  </r>
  <r>
    <x v="19"/>
    <x v="2"/>
    <x v="2"/>
    <n v="35"/>
  </r>
  <r>
    <x v="20"/>
    <x v="0"/>
    <x v="0"/>
    <n v="12"/>
  </r>
  <r>
    <x v="20"/>
    <x v="0"/>
    <x v="1"/>
    <n v="14"/>
  </r>
  <r>
    <x v="20"/>
    <x v="0"/>
    <x v="2"/>
    <n v="25"/>
  </r>
  <r>
    <x v="20"/>
    <x v="1"/>
    <x v="0"/>
    <n v="22"/>
  </r>
  <r>
    <x v="20"/>
    <x v="1"/>
    <x v="1"/>
    <n v="22"/>
  </r>
  <r>
    <x v="20"/>
    <x v="1"/>
    <x v="2"/>
    <n v="22"/>
  </r>
  <r>
    <x v="20"/>
    <x v="2"/>
    <x v="0"/>
    <n v="23"/>
  </r>
  <r>
    <x v="20"/>
    <x v="2"/>
    <x v="1"/>
    <n v="32"/>
  </r>
  <r>
    <x v="20"/>
    <x v="2"/>
    <x v="2"/>
    <n v="5"/>
  </r>
  <r>
    <x v="21"/>
    <x v="0"/>
    <x v="0"/>
    <n v="8"/>
  </r>
  <r>
    <x v="21"/>
    <x v="0"/>
    <x v="1"/>
    <n v="32"/>
  </r>
  <r>
    <x v="21"/>
    <x v="0"/>
    <x v="2"/>
    <n v="9"/>
  </r>
  <r>
    <x v="21"/>
    <x v="1"/>
    <x v="0"/>
    <n v="13"/>
  </r>
  <r>
    <x v="21"/>
    <x v="1"/>
    <x v="1"/>
    <n v="5"/>
  </r>
  <r>
    <x v="21"/>
    <x v="1"/>
    <x v="2"/>
    <n v="13"/>
  </r>
  <r>
    <x v="21"/>
    <x v="2"/>
    <x v="0"/>
    <n v="38"/>
  </r>
  <r>
    <x v="21"/>
    <x v="2"/>
    <x v="1"/>
    <n v="24"/>
  </r>
  <r>
    <x v="21"/>
    <x v="2"/>
    <x v="2"/>
    <n v="33"/>
  </r>
  <r>
    <x v="22"/>
    <x v="0"/>
    <x v="0"/>
    <n v="7"/>
  </r>
  <r>
    <x v="22"/>
    <x v="0"/>
    <x v="1"/>
    <n v="11"/>
  </r>
  <r>
    <x v="22"/>
    <x v="0"/>
    <x v="2"/>
    <n v="17"/>
  </r>
  <r>
    <x v="22"/>
    <x v="1"/>
    <x v="0"/>
    <n v="33"/>
  </r>
  <r>
    <x v="22"/>
    <x v="1"/>
    <x v="1"/>
    <n v="14"/>
  </r>
  <r>
    <x v="22"/>
    <x v="1"/>
    <x v="2"/>
    <n v="10"/>
  </r>
  <r>
    <x v="22"/>
    <x v="2"/>
    <x v="0"/>
    <n v="24"/>
  </r>
  <r>
    <x v="22"/>
    <x v="2"/>
    <x v="1"/>
    <n v="27"/>
  </r>
  <r>
    <x v="22"/>
    <x v="2"/>
    <x v="2"/>
    <n v="20"/>
  </r>
  <r>
    <x v="23"/>
    <x v="0"/>
    <x v="0"/>
    <n v="20"/>
  </r>
  <r>
    <x v="23"/>
    <x v="0"/>
    <x v="1"/>
    <n v="30"/>
  </r>
  <r>
    <x v="23"/>
    <x v="0"/>
    <x v="2"/>
    <n v="27"/>
  </r>
  <r>
    <x v="23"/>
    <x v="1"/>
    <x v="0"/>
    <n v="27"/>
  </r>
  <r>
    <x v="23"/>
    <x v="1"/>
    <x v="1"/>
    <n v="40"/>
  </r>
  <r>
    <x v="23"/>
    <x v="1"/>
    <x v="2"/>
    <n v="25"/>
  </r>
  <r>
    <x v="23"/>
    <x v="2"/>
    <x v="0"/>
    <n v="37"/>
  </r>
  <r>
    <x v="23"/>
    <x v="2"/>
    <x v="1"/>
    <n v="28"/>
  </r>
  <r>
    <x v="23"/>
    <x v="2"/>
    <x v="2"/>
    <n v="9"/>
  </r>
  <r>
    <x v="24"/>
    <x v="0"/>
    <x v="0"/>
    <n v="23"/>
  </r>
  <r>
    <x v="24"/>
    <x v="0"/>
    <x v="1"/>
    <n v="6"/>
  </r>
  <r>
    <x v="24"/>
    <x v="0"/>
    <x v="2"/>
    <n v="25"/>
  </r>
  <r>
    <x v="24"/>
    <x v="1"/>
    <x v="0"/>
    <n v="39"/>
  </r>
  <r>
    <x v="24"/>
    <x v="1"/>
    <x v="1"/>
    <n v="32"/>
  </r>
  <r>
    <x v="24"/>
    <x v="1"/>
    <x v="2"/>
    <n v="23"/>
  </r>
  <r>
    <x v="24"/>
    <x v="2"/>
    <x v="0"/>
    <n v="30"/>
  </r>
  <r>
    <x v="24"/>
    <x v="2"/>
    <x v="1"/>
    <n v="30"/>
  </r>
  <r>
    <x v="24"/>
    <x v="2"/>
    <x v="2"/>
    <n v="40"/>
  </r>
  <r>
    <x v="25"/>
    <x v="0"/>
    <x v="0"/>
    <n v="13"/>
  </r>
  <r>
    <x v="25"/>
    <x v="0"/>
    <x v="1"/>
    <n v="24"/>
  </r>
  <r>
    <x v="25"/>
    <x v="0"/>
    <x v="2"/>
    <n v="13"/>
  </r>
  <r>
    <x v="25"/>
    <x v="1"/>
    <x v="0"/>
    <n v="17"/>
  </r>
  <r>
    <x v="25"/>
    <x v="1"/>
    <x v="1"/>
    <n v="8"/>
  </r>
  <r>
    <x v="25"/>
    <x v="1"/>
    <x v="2"/>
    <n v="30"/>
  </r>
  <r>
    <x v="25"/>
    <x v="2"/>
    <x v="0"/>
    <n v="22"/>
  </r>
  <r>
    <x v="25"/>
    <x v="2"/>
    <x v="1"/>
    <n v="40"/>
  </r>
  <r>
    <x v="25"/>
    <x v="2"/>
    <x v="2"/>
    <n v="24"/>
  </r>
  <r>
    <x v="26"/>
    <x v="0"/>
    <x v="0"/>
    <n v="26"/>
  </r>
  <r>
    <x v="26"/>
    <x v="0"/>
    <x v="1"/>
    <n v="6"/>
  </r>
  <r>
    <x v="26"/>
    <x v="0"/>
    <x v="2"/>
    <n v="6"/>
  </r>
  <r>
    <x v="26"/>
    <x v="1"/>
    <x v="0"/>
    <n v="40"/>
  </r>
  <r>
    <x v="26"/>
    <x v="1"/>
    <x v="1"/>
    <n v="32"/>
  </r>
  <r>
    <x v="26"/>
    <x v="1"/>
    <x v="2"/>
    <n v="8"/>
  </r>
  <r>
    <x v="26"/>
    <x v="2"/>
    <x v="0"/>
    <n v="16"/>
  </r>
  <r>
    <x v="26"/>
    <x v="2"/>
    <x v="1"/>
    <n v="21"/>
  </r>
  <r>
    <x v="26"/>
    <x v="2"/>
    <x v="2"/>
    <n v="24"/>
  </r>
  <r>
    <x v="27"/>
    <x v="0"/>
    <x v="0"/>
    <n v="22"/>
  </r>
  <r>
    <x v="27"/>
    <x v="0"/>
    <x v="1"/>
    <n v="13"/>
  </r>
  <r>
    <x v="27"/>
    <x v="0"/>
    <x v="2"/>
    <n v="18"/>
  </r>
  <r>
    <x v="27"/>
    <x v="1"/>
    <x v="0"/>
    <n v="15"/>
  </r>
  <r>
    <x v="27"/>
    <x v="1"/>
    <x v="1"/>
    <n v="22"/>
  </r>
  <r>
    <x v="27"/>
    <x v="1"/>
    <x v="2"/>
    <n v="18"/>
  </r>
  <r>
    <x v="27"/>
    <x v="2"/>
    <x v="0"/>
    <n v="16"/>
  </r>
  <r>
    <x v="27"/>
    <x v="2"/>
    <x v="1"/>
    <n v="30"/>
  </r>
  <r>
    <x v="27"/>
    <x v="2"/>
    <x v="2"/>
    <n v="6"/>
  </r>
  <r>
    <x v="28"/>
    <x v="0"/>
    <x v="0"/>
    <n v="34"/>
  </r>
  <r>
    <x v="28"/>
    <x v="0"/>
    <x v="1"/>
    <n v="32"/>
  </r>
  <r>
    <x v="28"/>
    <x v="0"/>
    <x v="2"/>
    <n v="37"/>
  </r>
  <r>
    <x v="28"/>
    <x v="1"/>
    <x v="0"/>
    <n v="12"/>
  </r>
  <r>
    <x v="28"/>
    <x v="1"/>
    <x v="1"/>
    <n v="23"/>
  </r>
  <r>
    <x v="28"/>
    <x v="1"/>
    <x v="2"/>
    <n v="36"/>
  </r>
  <r>
    <x v="28"/>
    <x v="2"/>
    <x v="0"/>
    <n v="37"/>
  </r>
  <r>
    <x v="28"/>
    <x v="2"/>
    <x v="1"/>
    <n v="9"/>
  </r>
  <r>
    <x v="28"/>
    <x v="2"/>
    <x v="2"/>
    <n v="34"/>
  </r>
  <r>
    <x v="29"/>
    <x v="0"/>
    <x v="0"/>
    <n v="36"/>
  </r>
  <r>
    <x v="29"/>
    <x v="0"/>
    <x v="1"/>
    <n v="16"/>
  </r>
  <r>
    <x v="29"/>
    <x v="0"/>
    <x v="2"/>
    <n v="36"/>
  </r>
  <r>
    <x v="29"/>
    <x v="1"/>
    <x v="0"/>
    <n v="22"/>
  </r>
  <r>
    <x v="29"/>
    <x v="1"/>
    <x v="1"/>
    <n v="33"/>
  </r>
  <r>
    <x v="29"/>
    <x v="1"/>
    <x v="2"/>
    <n v="18"/>
  </r>
  <r>
    <x v="29"/>
    <x v="2"/>
    <x v="0"/>
    <n v="24"/>
  </r>
  <r>
    <x v="29"/>
    <x v="2"/>
    <x v="1"/>
    <n v="38"/>
  </r>
  <r>
    <x v="29"/>
    <x v="2"/>
    <x v="2"/>
    <n v="32"/>
  </r>
  <r>
    <x v="30"/>
    <x v="0"/>
    <x v="0"/>
    <n v="13"/>
  </r>
  <r>
    <x v="30"/>
    <x v="0"/>
    <x v="1"/>
    <n v="13"/>
  </r>
  <r>
    <x v="30"/>
    <x v="0"/>
    <x v="2"/>
    <n v="32"/>
  </r>
  <r>
    <x v="30"/>
    <x v="1"/>
    <x v="0"/>
    <n v="28"/>
  </r>
  <r>
    <x v="30"/>
    <x v="1"/>
    <x v="1"/>
    <n v="29"/>
  </r>
  <r>
    <x v="30"/>
    <x v="1"/>
    <x v="2"/>
    <n v="32"/>
  </r>
  <r>
    <x v="30"/>
    <x v="2"/>
    <x v="0"/>
    <n v="26"/>
  </r>
  <r>
    <x v="30"/>
    <x v="2"/>
    <x v="1"/>
    <n v="31"/>
  </r>
  <r>
    <x v="30"/>
    <x v="2"/>
    <x v="2"/>
    <n v="19"/>
  </r>
  <r>
    <x v="31"/>
    <x v="0"/>
    <x v="0"/>
    <n v="9"/>
  </r>
  <r>
    <x v="31"/>
    <x v="0"/>
    <x v="1"/>
    <n v="14"/>
  </r>
  <r>
    <x v="31"/>
    <x v="0"/>
    <x v="2"/>
    <n v="7"/>
  </r>
  <r>
    <x v="31"/>
    <x v="1"/>
    <x v="0"/>
    <n v="38"/>
  </r>
  <r>
    <x v="31"/>
    <x v="1"/>
    <x v="1"/>
    <n v="15"/>
  </r>
  <r>
    <x v="31"/>
    <x v="1"/>
    <x v="2"/>
    <n v="5"/>
  </r>
  <r>
    <x v="31"/>
    <x v="2"/>
    <x v="0"/>
    <n v="23"/>
  </r>
  <r>
    <x v="31"/>
    <x v="2"/>
    <x v="1"/>
    <n v="17"/>
  </r>
  <r>
    <x v="31"/>
    <x v="2"/>
    <x v="2"/>
    <n v="40"/>
  </r>
  <r>
    <x v="32"/>
    <x v="0"/>
    <x v="0"/>
    <n v="33"/>
  </r>
  <r>
    <x v="32"/>
    <x v="0"/>
    <x v="1"/>
    <n v="40"/>
  </r>
  <r>
    <x v="32"/>
    <x v="0"/>
    <x v="2"/>
    <n v="38"/>
  </r>
  <r>
    <x v="32"/>
    <x v="1"/>
    <x v="0"/>
    <n v="23"/>
  </r>
  <r>
    <x v="32"/>
    <x v="1"/>
    <x v="1"/>
    <n v="21"/>
  </r>
  <r>
    <x v="32"/>
    <x v="1"/>
    <x v="2"/>
    <n v="38"/>
  </r>
  <r>
    <x v="32"/>
    <x v="2"/>
    <x v="0"/>
    <n v="20"/>
  </r>
  <r>
    <x v="32"/>
    <x v="2"/>
    <x v="1"/>
    <n v="32"/>
  </r>
  <r>
    <x v="32"/>
    <x v="2"/>
    <x v="2"/>
    <n v="28"/>
  </r>
  <r>
    <x v="33"/>
    <x v="0"/>
    <x v="0"/>
    <n v="21"/>
  </r>
  <r>
    <x v="33"/>
    <x v="0"/>
    <x v="1"/>
    <n v="13"/>
  </r>
  <r>
    <x v="33"/>
    <x v="0"/>
    <x v="2"/>
    <n v="30"/>
  </r>
  <r>
    <x v="33"/>
    <x v="1"/>
    <x v="0"/>
    <n v="23"/>
  </r>
  <r>
    <x v="33"/>
    <x v="1"/>
    <x v="1"/>
    <n v="40"/>
  </r>
  <r>
    <x v="33"/>
    <x v="1"/>
    <x v="2"/>
    <n v="14"/>
  </r>
  <r>
    <x v="33"/>
    <x v="2"/>
    <x v="0"/>
    <n v="20"/>
  </r>
  <r>
    <x v="33"/>
    <x v="2"/>
    <x v="1"/>
    <n v="5"/>
  </r>
  <r>
    <x v="33"/>
    <x v="2"/>
    <x v="2"/>
    <n v="16"/>
  </r>
  <r>
    <x v="34"/>
    <x v="0"/>
    <x v="0"/>
    <n v="13"/>
  </r>
  <r>
    <x v="34"/>
    <x v="0"/>
    <x v="1"/>
    <n v="5"/>
  </r>
  <r>
    <x v="34"/>
    <x v="0"/>
    <x v="2"/>
    <n v="8"/>
  </r>
  <r>
    <x v="34"/>
    <x v="1"/>
    <x v="0"/>
    <n v="11"/>
  </r>
  <r>
    <x v="34"/>
    <x v="1"/>
    <x v="1"/>
    <n v="26"/>
  </r>
  <r>
    <x v="34"/>
    <x v="1"/>
    <x v="2"/>
    <n v="31"/>
  </r>
  <r>
    <x v="34"/>
    <x v="2"/>
    <x v="0"/>
    <n v="24"/>
  </r>
  <r>
    <x v="34"/>
    <x v="2"/>
    <x v="1"/>
    <n v="26"/>
  </r>
  <r>
    <x v="34"/>
    <x v="2"/>
    <x v="2"/>
    <n v="32"/>
  </r>
  <r>
    <x v="35"/>
    <x v="0"/>
    <x v="0"/>
    <n v="34"/>
  </r>
  <r>
    <x v="35"/>
    <x v="0"/>
    <x v="1"/>
    <n v="40"/>
  </r>
  <r>
    <x v="35"/>
    <x v="0"/>
    <x v="2"/>
    <n v="34"/>
  </r>
  <r>
    <x v="35"/>
    <x v="1"/>
    <x v="0"/>
    <n v="21"/>
  </r>
  <r>
    <x v="35"/>
    <x v="1"/>
    <x v="1"/>
    <n v="16"/>
  </r>
  <r>
    <x v="35"/>
    <x v="1"/>
    <x v="2"/>
    <n v="10"/>
  </r>
  <r>
    <x v="35"/>
    <x v="2"/>
    <x v="0"/>
    <n v="21"/>
  </r>
  <r>
    <x v="35"/>
    <x v="2"/>
    <x v="1"/>
    <n v="7"/>
  </r>
  <r>
    <x v="35"/>
    <x v="2"/>
    <x v="2"/>
    <n v="26"/>
  </r>
  <r>
    <x v="36"/>
    <x v="0"/>
    <x v="0"/>
    <n v="23"/>
  </r>
  <r>
    <x v="36"/>
    <x v="0"/>
    <x v="1"/>
    <n v="16"/>
  </r>
  <r>
    <x v="36"/>
    <x v="0"/>
    <x v="2"/>
    <n v="28"/>
  </r>
  <r>
    <x v="36"/>
    <x v="1"/>
    <x v="0"/>
    <n v="26"/>
  </r>
  <r>
    <x v="36"/>
    <x v="1"/>
    <x v="1"/>
    <n v="9"/>
  </r>
  <r>
    <x v="36"/>
    <x v="1"/>
    <x v="2"/>
    <n v="30"/>
  </r>
  <r>
    <x v="36"/>
    <x v="2"/>
    <x v="0"/>
    <n v="18"/>
  </r>
  <r>
    <x v="36"/>
    <x v="2"/>
    <x v="1"/>
    <n v="11"/>
  </r>
  <r>
    <x v="36"/>
    <x v="2"/>
    <x v="2"/>
    <n v="22"/>
  </r>
  <r>
    <x v="37"/>
    <x v="0"/>
    <x v="0"/>
    <n v="15"/>
  </r>
  <r>
    <x v="37"/>
    <x v="0"/>
    <x v="1"/>
    <n v="26"/>
  </r>
  <r>
    <x v="37"/>
    <x v="0"/>
    <x v="2"/>
    <n v="20"/>
  </r>
  <r>
    <x v="37"/>
    <x v="1"/>
    <x v="0"/>
    <n v="30"/>
  </r>
  <r>
    <x v="37"/>
    <x v="1"/>
    <x v="1"/>
    <n v="5"/>
  </r>
  <r>
    <x v="37"/>
    <x v="1"/>
    <x v="2"/>
    <n v="12"/>
  </r>
  <r>
    <x v="37"/>
    <x v="2"/>
    <x v="0"/>
    <n v="7"/>
  </r>
  <r>
    <x v="37"/>
    <x v="2"/>
    <x v="1"/>
    <n v="32"/>
  </r>
  <r>
    <x v="37"/>
    <x v="2"/>
    <x v="2"/>
    <n v="7"/>
  </r>
  <r>
    <x v="38"/>
    <x v="0"/>
    <x v="0"/>
    <n v="27"/>
  </r>
  <r>
    <x v="38"/>
    <x v="0"/>
    <x v="1"/>
    <n v="35"/>
  </r>
  <r>
    <x v="38"/>
    <x v="0"/>
    <x v="2"/>
    <n v="5"/>
  </r>
  <r>
    <x v="38"/>
    <x v="1"/>
    <x v="0"/>
    <n v="11"/>
  </r>
  <r>
    <x v="38"/>
    <x v="1"/>
    <x v="1"/>
    <n v="24"/>
  </r>
  <r>
    <x v="38"/>
    <x v="1"/>
    <x v="2"/>
    <n v="27"/>
  </r>
  <r>
    <x v="38"/>
    <x v="2"/>
    <x v="0"/>
    <n v="26"/>
  </r>
  <r>
    <x v="38"/>
    <x v="2"/>
    <x v="1"/>
    <n v="24"/>
  </r>
  <r>
    <x v="38"/>
    <x v="2"/>
    <x v="2"/>
    <n v="22"/>
  </r>
  <r>
    <x v="39"/>
    <x v="0"/>
    <x v="0"/>
    <n v="36"/>
  </r>
  <r>
    <x v="39"/>
    <x v="0"/>
    <x v="1"/>
    <n v="24"/>
  </r>
  <r>
    <x v="39"/>
    <x v="0"/>
    <x v="2"/>
    <n v="10"/>
  </r>
  <r>
    <x v="39"/>
    <x v="1"/>
    <x v="0"/>
    <n v="19"/>
  </r>
  <r>
    <x v="39"/>
    <x v="1"/>
    <x v="1"/>
    <n v="13"/>
  </r>
  <r>
    <x v="39"/>
    <x v="1"/>
    <x v="2"/>
    <n v="38"/>
  </r>
  <r>
    <x v="39"/>
    <x v="2"/>
    <x v="0"/>
    <n v="29"/>
  </r>
  <r>
    <x v="39"/>
    <x v="2"/>
    <x v="1"/>
    <n v="39"/>
  </r>
  <r>
    <x v="39"/>
    <x v="2"/>
    <x v="2"/>
    <n v="10"/>
  </r>
  <r>
    <x v="40"/>
    <x v="0"/>
    <x v="0"/>
    <n v="20"/>
  </r>
  <r>
    <x v="40"/>
    <x v="0"/>
    <x v="1"/>
    <n v="11"/>
  </r>
  <r>
    <x v="40"/>
    <x v="0"/>
    <x v="2"/>
    <n v="32"/>
  </r>
  <r>
    <x v="40"/>
    <x v="1"/>
    <x v="0"/>
    <n v="25"/>
  </r>
  <r>
    <x v="40"/>
    <x v="1"/>
    <x v="1"/>
    <n v="14"/>
  </r>
  <r>
    <x v="40"/>
    <x v="1"/>
    <x v="2"/>
    <n v="7"/>
  </r>
  <r>
    <x v="40"/>
    <x v="2"/>
    <x v="0"/>
    <n v="35"/>
  </r>
  <r>
    <x v="40"/>
    <x v="2"/>
    <x v="1"/>
    <n v="26"/>
  </r>
  <r>
    <x v="40"/>
    <x v="2"/>
    <x v="2"/>
    <n v="31"/>
  </r>
  <r>
    <x v="41"/>
    <x v="0"/>
    <x v="0"/>
    <n v="37"/>
  </r>
  <r>
    <x v="41"/>
    <x v="0"/>
    <x v="1"/>
    <n v="13"/>
  </r>
  <r>
    <x v="41"/>
    <x v="0"/>
    <x v="2"/>
    <n v="24"/>
  </r>
  <r>
    <x v="41"/>
    <x v="1"/>
    <x v="0"/>
    <n v="5"/>
  </r>
  <r>
    <x v="41"/>
    <x v="1"/>
    <x v="1"/>
    <n v="39"/>
  </r>
  <r>
    <x v="41"/>
    <x v="1"/>
    <x v="2"/>
    <n v="24"/>
  </r>
  <r>
    <x v="41"/>
    <x v="2"/>
    <x v="0"/>
    <n v="35"/>
  </r>
  <r>
    <x v="41"/>
    <x v="2"/>
    <x v="1"/>
    <n v="20"/>
  </r>
  <r>
    <x v="41"/>
    <x v="2"/>
    <x v="2"/>
    <n v="29"/>
  </r>
  <r>
    <x v="42"/>
    <x v="0"/>
    <x v="0"/>
    <n v="27"/>
  </r>
  <r>
    <x v="42"/>
    <x v="0"/>
    <x v="1"/>
    <n v="29"/>
  </r>
  <r>
    <x v="42"/>
    <x v="0"/>
    <x v="2"/>
    <n v="15"/>
  </r>
  <r>
    <x v="42"/>
    <x v="1"/>
    <x v="0"/>
    <n v="17"/>
  </r>
  <r>
    <x v="42"/>
    <x v="1"/>
    <x v="1"/>
    <n v="22"/>
  </r>
  <r>
    <x v="42"/>
    <x v="1"/>
    <x v="2"/>
    <n v="36"/>
  </r>
  <r>
    <x v="42"/>
    <x v="2"/>
    <x v="0"/>
    <n v="25"/>
  </r>
  <r>
    <x v="42"/>
    <x v="2"/>
    <x v="1"/>
    <n v="22"/>
  </r>
  <r>
    <x v="42"/>
    <x v="2"/>
    <x v="2"/>
    <n v="14"/>
  </r>
  <r>
    <x v="43"/>
    <x v="0"/>
    <x v="0"/>
    <n v="31"/>
  </r>
  <r>
    <x v="43"/>
    <x v="0"/>
    <x v="1"/>
    <n v="38"/>
  </r>
  <r>
    <x v="43"/>
    <x v="0"/>
    <x v="2"/>
    <n v="28"/>
  </r>
  <r>
    <x v="43"/>
    <x v="1"/>
    <x v="0"/>
    <n v="40"/>
  </r>
  <r>
    <x v="43"/>
    <x v="1"/>
    <x v="1"/>
    <n v="9"/>
  </r>
  <r>
    <x v="43"/>
    <x v="1"/>
    <x v="2"/>
    <n v="34"/>
  </r>
  <r>
    <x v="43"/>
    <x v="2"/>
    <x v="0"/>
    <n v="39"/>
  </r>
  <r>
    <x v="43"/>
    <x v="2"/>
    <x v="1"/>
    <n v="15"/>
  </r>
  <r>
    <x v="43"/>
    <x v="2"/>
    <x v="2"/>
    <n v="17"/>
  </r>
  <r>
    <x v="44"/>
    <x v="0"/>
    <x v="0"/>
    <n v="15"/>
  </r>
  <r>
    <x v="44"/>
    <x v="0"/>
    <x v="1"/>
    <n v="35"/>
  </r>
  <r>
    <x v="44"/>
    <x v="0"/>
    <x v="2"/>
    <n v="28"/>
  </r>
  <r>
    <x v="44"/>
    <x v="1"/>
    <x v="0"/>
    <n v="17"/>
  </r>
  <r>
    <x v="44"/>
    <x v="1"/>
    <x v="1"/>
    <n v="28"/>
  </r>
  <r>
    <x v="44"/>
    <x v="1"/>
    <x v="2"/>
    <n v="14"/>
  </r>
  <r>
    <x v="44"/>
    <x v="2"/>
    <x v="0"/>
    <n v="18"/>
  </r>
  <r>
    <x v="44"/>
    <x v="2"/>
    <x v="1"/>
    <n v="27"/>
  </r>
  <r>
    <x v="44"/>
    <x v="2"/>
    <x v="2"/>
    <n v="32"/>
  </r>
  <r>
    <x v="45"/>
    <x v="0"/>
    <x v="0"/>
    <n v="10"/>
  </r>
  <r>
    <x v="45"/>
    <x v="0"/>
    <x v="1"/>
    <n v="21"/>
  </r>
  <r>
    <x v="45"/>
    <x v="0"/>
    <x v="2"/>
    <n v="31"/>
  </r>
  <r>
    <x v="45"/>
    <x v="1"/>
    <x v="0"/>
    <n v="10"/>
  </r>
  <r>
    <x v="45"/>
    <x v="1"/>
    <x v="1"/>
    <n v="25"/>
  </r>
  <r>
    <x v="45"/>
    <x v="1"/>
    <x v="2"/>
    <n v="33"/>
  </r>
  <r>
    <x v="45"/>
    <x v="2"/>
    <x v="0"/>
    <n v="27"/>
  </r>
  <r>
    <x v="45"/>
    <x v="2"/>
    <x v="1"/>
    <n v="11"/>
  </r>
  <r>
    <x v="45"/>
    <x v="2"/>
    <x v="2"/>
    <n v="7"/>
  </r>
  <r>
    <x v="46"/>
    <x v="0"/>
    <x v="0"/>
    <n v="31"/>
  </r>
  <r>
    <x v="46"/>
    <x v="0"/>
    <x v="1"/>
    <n v="40"/>
  </r>
  <r>
    <x v="46"/>
    <x v="0"/>
    <x v="2"/>
    <n v="31"/>
  </r>
  <r>
    <x v="46"/>
    <x v="1"/>
    <x v="0"/>
    <n v="14"/>
  </r>
  <r>
    <x v="46"/>
    <x v="1"/>
    <x v="1"/>
    <n v="39"/>
  </r>
  <r>
    <x v="46"/>
    <x v="1"/>
    <x v="2"/>
    <n v="22"/>
  </r>
  <r>
    <x v="46"/>
    <x v="2"/>
    <x v="0"/>
    <n v="32"/>
  </r>
  <r>
    <x v="46"/>
    <x v="2"/>
    <x v="1"/>
    <n v="36"/>
  </r>
  <r>
    <x v="46"/>
    <x v="2"/>
    <x v="2"/>
    <n v="25"/>
  </r>
  <r>
    <x v="47"/>
    <x v="0"/>
    <x v="0"/>
    <n v="19"/>
  </r>
  <r>
    <x v="47"/>
    <x v="0"/>
    <x v="1"/>
    <n v="26"/>
  </r>
  <r>
    <x v="47"/>
    <x v="0"/>
    <x v="2"/>
    <n v="20"/>
  </r>
  <r>
    <x v="47"/>
    <x v="1"/>
    <x v="0"/>
    <n v="6"/>
  </r>
  <r>
    <x v="47"/>
    <x v="1"/>
    <x v="1"/>
    <n v="8"/>
  </r>
  <r>
    <x v="47"/>
    <x v="1"/>
    <x v="2"/>
    <n v="27"/>
  </r>
  <r>
    <x v="47"/>
    <x v="2"/>
    <x v="0"/>
    <n v="22"/>
  </r>
  <r>
    <x v="47"/>
    <x v="2"/>
    <x v="1"/>
    <n v="18"/>
  </r>
  <r>
    <x v="47"/>
    <x v="2"/>
    <x v="2"/>
    <n v="18"/>
  </r>
  <r>
    <x v="48"/>
    <x v="0"/>
    <x v="0"/>
    <n v="18"/>
  </r>
  <r>
    <x v="48"/>
    <x v="0"/>
    <x v="1"/>
    <n v="20"/>
  </r>
  <r>
    <x v="48"/>
    <x v="0"/>
    <x v="2"/>
    <n v="26"/>
  </r>
  <r>
    <x v="48"/>
    <x v="1"/>
    <x v="0"/>
    <n v="32"/>
  </r>
  <r>
    <x v="48"/>
    <x v="1"/>
    <x v="1"/>
    <n v="20"/>
  </r>
  <r>
    <x v="48"/>
    <x v="1"/>
    <x v="2"/>
    <n v="24"/>
  </r>
  <r>
    <x v="48"/>
    <x v="2"/>
    <x v="0"/>
    <n v="9"/>
  </r>
  <r>
    <x v="48"/>
    <x v="2"/>
    <x v="1"/>
    <n v="32"/>
  </r>
  <r>
    <x v="48"/>
    <x v="2"/>
    <x v="2"/>
    <n v="33"/>
  </r>
  <r>
    <x v="49"/>
    <x v="0"/>
    <x v="0"/>
    <n v="16"/>
  </r>
  <r>
    <x v="49"/>
    <x v="0"/>
    <x v="1"/>
    <n v="19"/>
  </r>
  <r>
    <x v="49"/>
    <x v="0"/>
    <x v="2"/>
    <n v="20"/>
  </r>
  <r>
    <x v="49"/>
    <x v="1"/>
    <x v="0"/>
    <n v="12"/>
  </r>
  <r>
    <x v="49"/>
    <x v="1"/>
    <x v="1"/>
    <n v="12"/>
  </r>
  <r>
    <x v="49"/>
    <x v="1"/>
    <x v="2"/>
    <n v="13"/>
  </r>
  <r>
    <x v="49"/>
    <x v="2"/>
    <x v="0"/>
    <n v="24"/>
  </r>
  <r>
    <x v="49"/>
    <x v="2"/>
    <x v="1"/>
    <n v="12"/>
  </r>
  <r>
    <x v="49"/>
    <x v="2"/>
    <x v="2"/>
    <n v="25"/>
  </r>
  <r>
    <x v="50"/>
    <x v="0"/>
    <x v="0"/>
    <n v="26"/>
  </r>
  <r>
    <x v="50"/>
    <x v="0"/>
    <x v="1"/>
    <n v="40"/>
  </r>
  <r>
    <x v="50"/>
    <x v="0"/>
    <x v="2"/>
    <n v="12"/>
  </r>
  <r>
    <x v="50"/>
    <x v="1"/>
    <x v="0"/>
    <n v="15"/>
  </r>
  <r>
    <x v="50"/>
    <x v="1"/>
    <x v="1"/>
    <n v="29"/>
  </r>
  <r>
    <x v="50"/>
    <x v="1"/>
    <x v="2"/>
    <n v="28"/>
  </r>
  <r>
    <x v="50"/>
    <x v="2"/>
    <x v="0"/>
    <n v="6"/>
  </r>
  <r>
    <x v="50"/>
    <x v="2"/>
    <x v="1"/>
    <n v="12"/>
  </r>
  <r>
    <x v="50"/>
    <x v="2"/>
    <x v="2"/>
    <n v="16"/>
  </r>
  <r>
    <x v="51"/>
    <x v="0"/>
    <x v="0"/>
    <n v="25"/>
  </r>
  <r>
    <x v="51"/>
    <x v="0"/>
    <x v="1"/>
    <n v="35"/>
  </r>
  <r>
    <x v="51"/>
    <x v="0"/>
    <x v="2"/>
    <n v="9"/>
  </r>
  <r>
    <x v="51"/>
    <x v="1"/>
    <x v="0"/>
    <n v="24"/>
  </r>
  <r>
    <x v="51"/>
    <x v="1"/>
    <x v="1"/>
    <n v="12"/>
  </r>
  <r>
    <x v="51"/>
    <x v="1"/>
    <x v="2"/>
    <n v="7"/>
  </r>
  <r>
    <x v="51"/>
    <x v="2"/>
    <x v="0"/>
    <n v="26"/>
  </r>
  <r>
    <x v="51"/>
    <x v="2"/>
    <x v="1"/>
    <n v="8"/>
  </r>
  <r>
    <x v="51"/>
    <x v="2"/>
    <x v="2"/>
    <n v="8"/>
  </r>
  <r>
    <x v="52"/>
    <x v="0"/>
    <x v="0"/>
    <n v="27"/>
  </r>
  <r>
    <x v="52"/>
    <x v="0"/>
    <x v="1"/>
    <n v="18"/>
  </r>
  <r>
    <x v="52"/>
    <x v="0"/>
    <x v="2"/>
    <n v="15"/>
  </r>
  <r>
    <x v="52"/>
    <x v="1"/>
    <x v="0"/>
    <n v="27"/>
  </r>
  <r>
    <x v="52"/>
    <x v="1"/>
    <x v="1"/>
    <n v="36"/>
  </r>
  <r>
    <x v="52"/>
    <x v="1"/>
    <x v="2"/>
    <n v="15"/>
  </r>
  <r>
    <x v="52"/>
    <x v="2"/>
    <x v="0"/>
    <n v="36"/>
  </r>
  <r>
    <x v="52"/>
    <x v="2"/>
    <x v="1"/>
    <n v="32"/>
  </r>
  <r>
    <x v="52"/>
    <x v="2"/>
    <x v="2"/>
    <n v="24"/>
  </r>
  <r>
    <x v="53"/>
    <x v="0"/>
    <x v="0"/>
    <n v="24"/>
  </r>
  <r>
    <x v="53"/>
    <x v="0"/>
    <x v="1"/>
    <n v="9"/>
  </r>
  <r>
    <x v="53"/>
    <x v="0"/>
    <x v="2"/>
    <n v="25"/>
  </r>
  <r>
    <x v="53"/>
    <x v="1"/>
    <x v="0"/>
    <n v="28"/>
  </r>
  <r>
    <x v="53"/>
    <x v="1"/>
    <x v="1"/>
    <n v="28"/>
  </r>
  <r>
    <x v="53"/>
    <x v="1"/>
    <x v="2"/>
    <n v="27"/>
  </r>
  <r>
    <x v="53"/>
    <x v="2"/>
    <x v="0"/>
    <n v="30"/>
  </r>
  <r>
    <x v="53"/>
    <x v="2"/>
    <x v="1"/>
    <n v="23"/>
  </r>
  <r>
    <x v="53"/>
    <x v="2"/>
    <x v="2"/>
    <n v="7"/>
  </r>
  <r>
    <x v="54"/>
    <x v="0"/>
    <x v="0"/>
    <n v="30"/>
  </r>
  <r>
    <x v="54"/>
    <x v="0"/>
    <x v="1"/>
    <n v="34"/>
  </r>
  <r>
    <x v="54"/>
    <x v="0"/>
    <x v="2"/>
    <n v="7"/>
  </r>
  <r>
    <x v="54"/>
    <x v="1"/>
    <x v="0"/>
    <n v="22"/>
  </r>
  <r>
    <x v="54"/>
    <x v="1"/>
    <x v="1"/>
    <n v="8"/>
  </r>
  <r>
    <x v="54"/>
    <x v="1"/>
    <x v="2"/>
    <n v="38"/>
  </r>
  <r>
    <x v="54"/>
    <x v="2"/>
    <x v="0"/>
    <n v="40"/>
  </r>
  <r>
    <x v="54"/>
    <x v="2"/>
    <x v="1"/>
    <n v="16"/>
  </r>
  <r>
    <x v="54"/>
    <x v="2"/>
    <x v="2"/>
    <n v="29"/>
  </r>
  <r>
    <x v="55"/>
    <x v="0"/>
    <x v="0"/>
    <n v="16"/>
  </r>
  <r>
    <x v="55"/>
    <x v="0"/>
    <x v="1"/>
    <n v="40"/>
  </r>
  <r>
    <x v="55"/>
    <x v="0"/>
    <x v="2"/>
    <n v="7"/>
  </r>
  <r>
    <x v="55"/>
    <x v="1"/>
    <x v="0"/>
    <n v="22"/>
  </r>
  <r>
    <x v="55"/>
    <x v="1"/>
    <x v="1"/>
    <n v="37"/>
  </r>
  <r>
    <x v="55"/>
    <x v="1"/>
    <x v="2"/>
    <n v="7"/>
  </r>
  <r>
    <x v="55"/>
    <x v="2"/>
    <x v="0"/>
    <n v="20"/>
  </r>
  <r>
    <x v="55"/>
    <x v="2"/>
    <x v="1"/>
    <n v="40"/>
  </r>
  <r>
    <x v="55"/>
    <x v="2"/>
    <x v="2"/>
    <n v="34"/>
  </r>
  <r>
    <x v="56"/>
    <x v="0"/>
    <x v="0"/>
    <n v="37"/>
  </r>
  <r>
    <x v="56"/>
    <x v="0"/>
    <x v="1"/>
    <n v="20"/>
  </r>
  <r>
    <x v="56"/>
    <x v="0"/>
    <x v="2"/>
    <n v="36"/>
  </r>
  <r>
    <x v="56"/>
    <x v="1"/>
    <x v="0"/>
    <n v="12"/>
  </r>
  <r>
    <x v="56"/>
    <x v="1"/>
    <x v="1"/>
    <n v="16"/>
  </r>
  <r>
    <x v="56"/>
    <x v="1"/>
    <x v="2"/>
    <n v="40"/>
  </r>
  <r>
    <x v="56"/>
    <x v="2"/>
    <x v="0"/>
    <n v="17"/>
  </r>
  <r>
    <x v="56"/>
    <x v="2"/>
    <x v="1"/>
    <n v="36"/>
  </r>
  <r>
    <x v="56"/>
    <x v="2"/>
    <x v="2"/>
    <n v="38"/>
  </r>
  <r>
    <x v="57"/>
    <x v="0"/>
    <x v="0"/>
    <n v="16"/>
  </r>
  <r>
    <x v="57"/>
    <x v="0"/>
    <x v="1"/>
    <n v="25"/>
  </r>
  <r>
    <x v="57"/>
    <x v="0"/>
    <x v="2"/>
    <n v="8"/>
  </r>
  <r>
    <x v="57"/>
    <x v="1"/>
    <x v="0"/>
    <n v="27"/>
  </r>
  <r>
    <x v="57"/>
    <x v="1"/>
    <x v="1"/>
    <n v="37"/>
  </r>
  <r>
    <x v="57"/>
    <x v="1"/>
    <x v="2"/>
    <n v="22"/>
  </r>
  <r>
    <x v="57"/>
    <x v="2"/>
    <x v="0"/>
    <n v="14"/>
  </r>
  <r>
    <x v="57"/>
    <x v="2"/>
    <x v="1"/>
    <n v="11"/>
  </r>
  <r>
    <x v="57"/>
    <x v="2"/>
    <x v="2"/>
    <n v="34"/>
  </r>
  <r>
    <x v="58"/>
    <x v="0"/>
    <x v="0"/>
    <n v="23"/>
  </r>
  <r>
    <x v="58"/>
    <x v="0"/>
    <x v="1"/>
    <n v="32"/>
  </r>
  <r>
    <x v="58"/>
    <x v="0"/>
    <x v="2"/>
    <n v="11"/>
  </r>
  <r>
    <x v="58"/>
    <x v="1"/>
    <x v="0"/>
    <n v="11"/>
  </r>
  <r>
    <x v="58"/>
    <x v="1"/>
    <x v="1"/>
    <n v="6"/>
  </r>
  <r>
    <x v="58"/>
    <x v="1"/>
    <x v="2"/>
    <n v="27"/>
  </r>
  <r>
    <x v="58"/>
    <x v="2"/>
    <x v="0"/>
    <n v="33"/>
  </r>
  <r>
    <x v="58"/>
    <x v="2"/>
    <x v="1"/>
    <n v="11"/>
  </r>
  <r>
    <x v="58"/>
    <x v="2"/>
    <x v="2"/>
    <n v="29"/>
  </r>
  <r>
    <x v="59"/>
    <x v="0"/>
    <x v="0"/>
    <n v="31"/>
  </r>
  <r>
    <x v="59"/>
    <x v="0"/>
    <x v="1"/>
    <n v="9"/>
  </r>
  <r>
    <x v="59"/>
    <x v="0"/>
    <x v="2"/>
    <n v="16"/>
  </r>
  <r>
    <x v="59"/>
    <x v="1"/>
    <x v="0"/>
    <n v="24"/>
  </r>
  <r>
    <x v="59"/>
    <x v="1"/>
    <x v="1"/>
    <n v="12"/>
  </r>
  <r>
    <x v="59"/>
    <x v="1"/>
    <x v="2"/>
    <n v="10"/>
  </r>
  <r>
    <x v="59"/>
    <x v="2"/>
    <x v="0"/>
    <n v="20"/>
  </r>
  <r>
    <x v="59"/>
    <x v="2"/>
    <x v="1"/>
    <n v="11"/>
  </r>
  <r>
    <x v="59"/>
    <x v="2"/>
    <x v="2"/>
    <n v="29"/>
  </r>
  <r>
    <x v="60"/>
    <x v="0"/>
    <x v="0"/>
    <n v="34"/>
  </r>
  <r>
    <x v="60"/>
    <x v="0"/>
    <x v="1"/>
    <n v="13"/>
  </r>
  <r>
    <x v="60"/>
    <x v="0"/>
    <x v="2"/>
    <n v="5"/>
  </r>
  <r>
    <x v="60"/>
    <x v="1"/>
    <x v="0"/>
    <n v="26"/>
  </r>
  <r>
    <x v="60"/>
    <x v="1"/>
    <x v="1"/>
    <n v="20"/>
  </r>
  <r>
    <x v="60"/>
    <x v="1"/>
    <x v="2"/>
    <n v="11"/>
  </r>
  <r>
    <x v="60"/>
    <x v="2"/>
    <x v="0"/>
    <n v="17"/>
  </r>
  <r>
    <x v="60"/>
    <x v="2"/>
    <x v="1"/>
    <n v="8"/>
  </r>
  <r>
    <x v="60"/>
    <x v="2"/>
    <x v="2"/>
    <n v="27"/>
  </r>
  <r>
    <x v="61"/>
    <x v="0"/>
    <x v="0"/>
    <n v="26"/>
  </r>
  <r>
    <x v="61"/>
    <x v="0"/>
    <x v="1"/>
    <n v="33"/>
  </r>
  <r>
    <x v="61"/>
    <x v="0"/>
    <x v="2"/>
    <n v="20"/>
  </r>
  <r>
    <x v="61"/>
    <x v="1"/>
    <x v="0"/>
    <n v="10"/>
  </r>
  <r>
    <x v="61"/>
    <x v="1"/>
    <x v="1"/>
    <n v="7"/>
  </r>
  <r>
    <x v="61"/>
    <x v="1"/>
    <x v="2"/>
    <n v="24"/>
  </r>
  <r>
    <x v="61"/>
    <x v="2"/>
    <x v="0"/>
    <n v="12"/>
  </r>
  <r>
    <x v="61"/>
    <x v="2"/>
    <x v="1"/>
    <n v="11"/>
  </r>
  <r>
    <x v="61"/>
    <x v="2"/>
    <x v="2"/>
    <n v="21"/>
  </r>
  <r>
    <x v="62"/>
    <x v="0"/>
    <x v="0"/>
    <n v="5"/>
  </r>
  <r>
    <x v="62"/>
    <x v="0"/>
    <x v="1"/>
    <n v="39"/>
  </r>
  <r>
    <x v="62"/>
    <x v="0"/>
    <x v="2"/>
    <n v="25"/>
  </r>
  <r>
    <x v="62"/>
    <x v="1"/>
    <x v="0"/>
    <n v="24"/>
  </r>
  <r>
    <x v="62"/>
    <x v="1"/>
    <x v="1"/>
    <n v="28"/>
  </r>
  <r>
    <x v="62"/>
    <x v="1"/>
    <x v="2"/>
    <n v="36"/>
  </r>
  <r>
    <x v="62"/>
    <x v="2"/>
    <x v="0"/>
    <n v="38"/>
  </r>
  <r>
    <x v="62"/>
    <x v="2"/>
    <x v="1"/>
    <n v="25"/>
  </r>
  <r>
    <x v="62"/>
    <x v="2"/>
    <x v="2"/>
    <n v="13"/>
  </r>
  <r>
    <x v="63"/>
    <x v="0"/>
    <x v="0"/>
    <n v="30"/>
  </r>
  <r>
    <x v="63"/>
    <x v="0"/>
    <x v="1"/>
    <n v="19"/>
  </r>
  <r>
    <x v="63"/>
    <x v="0"/>
    <x v="2"/>
    <n v="32"/>
  </r>
  <r>
    <x v="63"/>
    <x v="1"/>
    <x v="0"/>
    <n v="35"/>
  </r>
  <r>
    <x v="63"/>
    <x v="1"/>
    <x v="1"/>
    <n v="23"/>
  </r>
  <r>
    <x v="63"/>
    <x v="1"/>
    <x v="2"/>
    <n v="6"/>
  </r>
  <r>
    <x v="63"/>
    <x v="2"/>
    <x v="0"/>
    <n v="37"/>
  </r>
  <r>
    <x v="63"/>
    <x v="2"/>
    <x v="1"/>
    <n v="15"/>
  </r>
  <r>
    <x v="63"/>
    <x v="2"/>
    <x v="2"/>
    <n v="21"/>
  </r>
  <r>
    <x v="64"/>
    <x v="0"/>
    <x v="0"/>
    <n v="13"/>
  </r>
  <r>
    <x v="64"/>
    <x v="0"/>
    <x v="1"/>
    <n v="25"/>
  </r>
  <r>
    <x v="64"/>
    <x v="0"/>
    <x v="2"/>
    <n v="13"/>
  </r>
  <r>
    <x v="64"/>
    <x v="1"/>
    <x v="0"/>
    <n v="20"/>
  </r>
  <r>
    <x v="64"/>
    <x v="1"/>
    <x v="1"/>
    <n v="6"/>
  </r>
  <r>
    <x v="64"/>
    <x v="1"/>
    <x v="2"/>
    <n v="6"/>
  </r>
  <r>
    <x v="64"/>
    <x v="2"/>
    <x v="0"/>
    <n v="21"/>
  </r>
  <r>
    <x v="64"/>
    <x v="2"/>
    <x v="1"/>
    <n v="36"/>
  </r>
  <r>
    <x v="64"/>
    <x v="2"/>
    <x v="2"/>
    <n v="13"/>
  </r>
  <r>
    <x v="65"/>
    <x v="0"/>
    <x v="0"/>
    <n v="16"/>
  </r>
  <r>
    <x v="65"/>
    <x v="0"/>
    <x v="1"/>
    <n v="32"/>
  </r>
  <r>
    <x v="65"/>
    <x v="0"/>
    <x v="2"/>
    <n v="39"/>
  </r>
  <r>
    <x v="65"/>
    <x v="1"/>
    <x v="0"/>
    <n v="29"/>
  </r>
  <r>
    <x v="65"/>
    <x v="1"/>
    <x v="1"/>
    <n v="13"/>
  </r>
  <r>
    <x v="65"/>
    <x v="1"/>
    <x v="2"/>
    <n v="35"/>
  </r>
  <r>
    <x v="65"/>
    <x v="2"/>
    <x v="0"/>
    <n v="39"/>
  </r>
  <r>
    <x v="65"/>
    <x v="2"/>
    <x v="1"/>
    <n v="12"/>
  </r>
  <r>
    <x v="65"/>
    <x v="2"/>
    <x v="2"/>
    <n v="39"/>
  </r>
  <r>
    <x v="66"/>
    <x v="0"/>
    <x v="0"/>
    <n v="6"/>
  </r>
  <r>
    <x v="66"/>
    <x v="0"/>
    <x v="1"/>
    <n v="36"/>
  </r>
  <r>
    <x v="66"/>
    <x v="0"/>
    <x v="2"/>
    <n v="37"/>
  </r>
  <r>
    <x v="66"/>
    <x v="1"/>
    <x v="0"/>
    <n v="8"/>
  </r>
  <r>
    <x v="66"/>
    <x v="1"/>
    <x v="1"/>
    <n v="25"/>
  </r>
  <r>
    <x v="66"/>
    <x v="1"/>
    <x v="2"/>
    <n v="10"/>
  </r>
  <r>
    <x v="66"/>
    <x v="2"/>
    <x v="0"/>
    <n v="36"/>
  </r>
  <r>
    <x v="66"/>
    <x v="2"/>
    <x v="1"/>
    <n v="17"/>
  </r>
  <r>
    <x v="66"/>
    <x v="2"/>
    <x v="2"/>
    <n v="27"/>
  </r>
  <r>
    <x v="67"/>
    <x v="0"/>
    <x v="0"/>
    <n v="38"/>
  </r>
  <r>
    <x v="67"/>
    <x v="0"/>
    <x v="1"/>
    <n v="25"/>
  </r>
  <r>
    <x v="67"/>
    <x v="0"/>
    <x v="2"/>
    <n v="36"/>
  </r>
  <r>
    <x v="67"/>
    <x v="1"/>
    <x v="0"/>
    <n v="33"/>
  </r>
  <r>
    <x v="67"/>
    <x v="1"/>
    <x v="1"/>
    <n v="18"/>
  </r>
  <r>
    <x v="67"/>
    <x v="1"/>
    <x v="2"/>
    <n v="5"/>
  </r>
  <r>
    <x v="67"/>
    <x v="2"/>
    <x v="0"/>
    <n v="15"/>
  </r>
  <r>
    <x v="67"/>
    <x v="2"/>
    <x v="1"/>
    <n v="13"/>
  </r>
  <r>
    <x v="67"/>
    <x v="2"/>
    <x v="2"/>
    <n v="14"/>
  </r>
  <r>
    <x v="68"/>
    <x v="0"/>
    <x v="0"/>
    <n v="35"/>
  </r>
  <r>
    <x v="68"/>
    <x v="0"/>
    <x v="1"/>
    <n v="15"/>
  </r>
  <r>
    <x v="68"/>
    <x v="0"/>
    <x v="2"/>
    <n v="18"/>
  </r>
  <r>
    <x v="68"/>
    <x v="1"/>
    <x v="0"/>
    <n v="11"/>
  </r>
  <r>
    <x v="68"/>
    <x v="1"/>
    <x v="1"/>
    <n v="37"/>
  </r>
  <r>
    <x v="68"/>
    <x v="1"/>
    <x v="2"/>
    <n v="31"/>
  </r>
  <r>
    <x v="68"/>
    <x v="2"/>
    <x v="0"/>
    <n v="10"/>
  </r>
  <r>
    <x v="68"/>
    <x v="2"/>
    <x v="1"/>
    <n v="11"/>
  </r>
  <r>
    <x v="68"/>
    <x v="2"/>
    <x v="2"/>
    <n v="31"/>
  </r>
  <r>
    <x v="69"/>
    <x v="0"/>
    <x v="0"/>
    <n v="34"/>
  </r>
  <r>
    <x v="69"/>
    <x v="0"/>
    <x v="1"/>
    <n v="38"/>
  </r>
  <r>
    <x v="69"/>
    <x v="0"/>
    <x v="2"/>
    <n v="25"/>
  </r>
  <r>
    <x v="69"/>
    <x v="1"/>
    <x v="0"/>
    <n v="7"/>
  </r>
  <r>
    <x v="69"/>
    <x v="1"/>
    <x v="1"/>
    <n v="20"/>
  </r>
  <r>
    <x v="69"/>
    <x v="1"/>
    <x v="2"/>
    <n v="22"/>
  </r>
  <r>
    <x v="69"/>
    <x v="2"/>
    <x v="0"/>
    <n v="17"/>
  </r>
  <r>
    <x v="69"/>
    <x v="2"/>
    <x v="1"/>
    <n v="26"/>
  </r>
  <r>
    <x v="69"/>
    <x v="2"/>
    <x v="2"/>
    <n v="38"/>
  </r>
  <r>
    <x v="70"/>
    <x v="0"/>
    <x v="0"/>
    <n v="16"/>
  </r>
  <r>
    <x v="70"/>
    <x v="0"/>
    <x v="1"/>
    <n v="16"/>
  </r>
  <r>
    <x v="70"/>
    <x v="0"/>
    <x v="2"/>
    <n v="33"/>
  </r>
  <r>
    <x v="70"/>
    <x v="1"/>
    <x v="0"/>
    <n v="28"/>
  </r>
  <r>
    <x v="70"/>
    <x v="1"/>
    <x v="1"/>
    <n v="35"/>
  </r>
  <r>
    <x v="70"/>
    <x v="1"/>
    <x v="2"/>
    <n v="16"/>
  </r>
  <r>
    <x v="70"/>
    <x v="2"/>
    <x v="0"/>
    <n v="7"/>
  </r>
  <r>
    <x v="70"/>
    <x v="2"/>
    <x v="1"/>
    <n v="19"/>
  </r>
  <r>
    <x v="70"/>
    <x v="2"/>
    <x v="2"/>
    <n v="32"/>
  </r>
  <r>
    <x v="71"/>
    <x v="0"/>
    <x v="0"/>
    <n v="23"/>
  </r>
  <r>
    <x v="71"/>
    <x v="0"/>
    <x v="1"/>
    <n v="12"/>
  </r>
  <r>
    <x v="71"/>
    <x v="0"/>
    <x v="2"/>
    <n v="34"/>
  </r>
  <r>
    <x v="71"/>
    <x v="1"/>
    <x v="0"/>
    <n v="28"/>
  </r>
  <r>
    <x v="71"/>
    <x v="1"/>
    <x v="1"/>
    <n v="12"/>
  </r>
  <r>
    <x v="71"/>
    <x v="1"/>
    <x v="2"/>
    <n v="5"/>
  </r>
  <r>
    <x v="71"/>
    <x v="2"/>
    <x v="0"/>
    <n v="21"/>
  </r>
  <r>
    <x v="71"/>
    <x v="2"/>
    <x v="1"/>
    <n v="35"/>
  </r>
  <r>
    <x v="71"/>
    <x v="2"/>
    <x v="2"/>
    <n v="18"/>
  </r>
  <r>
    <x v="72"/>
    <x v="0"/>
    <x v="0"/>
    <n v="17"/>
  </r>
  <r>
    <x v="72"/>
    <x v="0"/>
    <x v="1"/>
    <n v="32"/>
  </r>
  <r>
    <x v="72"/>
    <x v="0"/>
    <x v="2"/>
    <n v="8"/>
  </r>
  <r>
    <x v="72"/>
    <x v="1"/>
    <x v="0"/>
    <n v="35"/>
  </r>
  <r>
    <x v="72"/>
    <x v="1"/>
    <x v="1"/>
    <n v="27"/>
  </r>
  <r>
    <x v="72"/>
    <x v="1"/>
    <x v="2"/>
    <n v="16"/>
  </r>
  <r>
    <x v="72"/>
    <x v="2"/>
    <x v="0"/>
    <n v="25"/>
  </r>
  <r>
    <x v="72"/>
    <x v="2"/>
    <x v="1"/>
    <n v="7"/>
  </r>
  <r>
    <x v="72"/>
    <x v="2"/>
    <x v="2"/>
    <n v="26"/>
  </r>
  <r>
    <x v="73"/>
    <x v="0"/>
    <x v="0"/>
    <n v="34"/>
  </r>
  <r>
    <x v="73"/>
    <x v="0"/>
    <x v="1"/>
    <n v="27"/>
  </r>
  <r>
    <x v="73"/>
    <x v="0"/>
    <x v="2"/>
    <n v="37"/>
  </r>
  <r>
    <x v="73"/>
    <x v="1"/>
    <x v="0"/>
    <n v="18"/>
  </r>
  <r>
    <x v="73"/>
    <x v="1"/>
    <x v="1"/>
    <n v="8"/>
  </r>
  <r>
    <x v="73"/>
    <x v="1"/>
    <x v="2"/>
    <n v="40"/>
  </r>
  <r>
    <x v="73"/>
    <x v="2"/>
    <x v="0"/>
    <n v="12"/>
  </r>
  <r>
    <x v="73"/>
    <x v="2"/>
    <x v="1"/>
    <n v="32"/>
  </r>
  <r>
    <x v="73"/>
    <x v="2"/>
    <x v="2"/>
    <n v="15"/>
  </r>
  <r>
    <x v="74"/>
    <x v="0"/>
    <x v="0"/>
    <n v="25"/>
  </r>
  <r>
    <x v="74"/>
    <x v="0"/>
    <x v="1"/>
    <n v="8"/>
  </r>
  <r>
    <x v="74"/>
    <x v="0"/>
    <x v="2"/>
    <n v="21"/>
  </r>
  <r>
    <x v="74"/>
    <x v="1"/>
    <x v="0"/>
    <n v="29"/>
  </r>
  <r>
    <x v="74"/>
    <x v="1"/>
    <x v="1"/>
    <n v="39"/>
  </r>
  <r>
    <x v="74"/>
    <x v="1"/>
    <x v="2"/>
    <n v="14"/>
  </r>
  <r>
    <x v="74"/>
    <x v="2"/>
    <x v="0"/>
    <n v="16"/>
  </r>
  <r>
    <x v="74"/>
    <x v="2"/>
    <x v="1"/>
    <n v="25"/>
  </r>
  <r>
    <x v="74"/>
    <x v="2"/>
    <x v="2"/>
    <n v="16"/>
  </r>
  <r>
    <x v="75"/>
    <x v="0"/>
    <x v="0"/>
    <n v="24"/>
  </r>
  <r>
    <x v="75"/>
    <x v="0"/>
    <x v="1"/>
    <n v="20"/>
  </r>
  <r>
    <x v="75"/>
    <x v="0"/>
    <x v="2"/>
    <n v="15"/>
  </r>
  <r>
    <x v="75"/>
    <x v="1"/>
    <x v="0"/>
    <n v="20"/>
  </r>
  <r>
    <x v="75"/>
    <x v="1"/>
    <x v="1"/>
    <n v="5"/>
  </r>
  <r>
    <x v="75"/>
    <x v="1"/>
    <x v="2"/>
    <n v="10"/>
  </r>
  <r>
    <x v="75"/>
    <x v="2"/>
    <x v="0"/>
    <n v="37"/>
  </r>
  <r>
    <x v="75"/>
    <x v="2"/>
    <x v="1"/>
    <n v="26"/>
  </r>
  <r>
    <x v="75"/>
    <x v="2"/>
    <x v="2"/>
    <n v="36"/>
  </r>
  <r>
    <x v="76"/>
    <x v="0"/>
    <x v="0"/>
    <n v="37"/>
  </r>
  <r>
    <x v="76"/>
    <x v="0"/>
    <x v="1"/>
    <n v="15"/>
  </r>
  <r>
    <x v="76"/>
    <x v="0"/>
    <x v="2"/>
    <n v="35"/>
  </r>
  <r>
    <x v="76"/>
    <x v="1"/>
    <x v="0"/>
    <n v="23"/>
  </r>
  <r>
    <x v="76"/>
    <x v="1"/>
    <x v="1"/>
    <n v="8"/>
  </r>
  <r>
    <x v="76"/>
    <x v="1"/>
    <x v="2"/>
    <n v="23"/>
  </r>
  <r>
    <x v="76"/>
    <x v="2"/>
    <x v="0"/>
    <n v="25"/>
  </r>
  <r>
    <x v="76"/>
    <x v="2"/>
    <x v="1"/>
    <n v="22"/>
  </r>
  <r>
    <x v="76"/>
    <x v="2"/>
    <x v="2"/>
    <n v="14"/>
  </r>
  <r>
    <x v="77"/>
    <x v="0"/>
    <x v="0"/>
    <n v="19"/>
  </r>
  <r>
    <x v="77"/>
    <x v="0"/>
    <x v="1"/>
    <n v="28"/>
  </r>
  <r>
    <x v="77"/>
    <x v="0"/>
    <x v="2"/>
    <n v="7"/>
  </r>
  <r>
    <x v="77"/>
    <x v="1"/>
    <x v="0"/>
    <n v="13"/>
  </r>
  <r>
    <x v="77"/>
    <x v="1"/>
    <x v="1"/>
    <n v="28"/>
  </r>
  <r>
    <x v="77"/>
    <x v="1"/>
    <x v="2"/>
    <n v="10"/>
  </r>
  <r>
    <x v="77"/>
    <x v="2"/>
    <x v="0"/>
    <n v="35"/>
  </r>
  <r>
    <x v="77"/>
    <x v="2"/>
    <x v="1"/>
    <n v="10"/>
  </r>
  <r>
    <x v="77"/>
    <x v="2"/>
    <x v="2"/>
    <n v="24"/>
  </r>
  <r>
    <x v="78"/>
    <x v="0"/>
    <x v="0"/>
    <n v="38"/>
  </r>
  <r>
    <x v="78"/>
    <x v="0"/>
    <x v="1"/>
    <n v="22"/>
  </r>
  <r>
    <x v="78"/>
    <x v="0"/>
    <x v="2"/>
    <n v="39"/>
  </r>
  <r>
    <x v="78"/>
    <x v="1"/>
    <x v="0"/>
    <n v="13"/>
  </r>
  <r>
    <x v="78"/>
    <x v="1"/>
    <x v="1"/>
    <n v="11"/>
  </r>
  <r>
    <x v="78"/>
    <x v="1"/>
    <x v="2"/>
    <n v="26"/>
  </r>
  <r>
    <x v="78"/>
    <x v="2"/>
    <x v="0"/>
    <n v="10"/>
  </r>
  <r>
    <x v="78"/>
    <x v="2"/>
    <x v="1"/>
    <n v="15"/>
  </r>
  <r>
    <x v="78"/>
    <x v="2"/>
    <x v="2"/>
    <n v="32"/>
  </r>
  <r>
    <x v="79"/>
    <x v="0"/>
    <x v="0"/>
    <n v="7"/>
  </r>
  <r>
    <x v="79"/>
    <x v="0"/>
    <x v="1"/>
    <n v="16"/>
  </r>
  <r>
    <x v="79"/>
    <x v="0"/>
    <x v="2"/>
    <n v="10"/>
  </r>
  <r>
    <x v="79"/>
    <x v="1"/>
    <x v="0"/>
    <n v="18"/>
  </r>
  <r>
    <x v="79"/>
    <x v="1"/>
    <x v="1"/>
    <n v="19"/>
  </r>
  <r>
    <x v="79"/>
    <x v="1"/>
    <x v="2"/>
    <n v="23"/>
  </r>
  <r>
    <x v="79"/>
    <x v="2"/>
    <x v="0"/>
    <n v="9"/>
  </r>
  <r>
    <x v="79"/>
    <x v="2"/>
    <x v="1"/>
    <n v="20"/>
  </r>
  <r>
    <x v="79"/>
    <x v="2"/>
    <x v="2"/>
    <n v="39"/>
  </r>
  <r>
    <x v="80"/>
    <x v="0"/>
    <x v="0"/>
    <n v="21"/>
  </r>
  <r>
    <x v="80"/>
    <x v="0"/>
    <x v="1"/>
    <n v="8"/>
  </r>
  <r>
    <x v="80"/>
    <x v="0"/>
    <x v="2"/>
    <n v="24"/>
  </r>
  <r>
    <x v="80"/>
    <x v="1"/>
    <x v="0"/>
    <n v="5"/>
  </r>
  <r>
    <x v="80"/>
    <x v="1"/>
    <x v="1"/>
    <n v="19"/>
  </r>
  <r>
    <x v="80"/>
    <x v="1"/>
    <x v="2"/>
    <n v="37"/>
  </r>
  <r>
    <x v="80"/>
    <x v="2"/>
    <x v="0"/>
    <n v="21"/>
  </r>
  <r>
    <x v="80"/>
    <x v="2"/>
    <x v="1"/>
    <n v="28"/>
  </r>
  <r>
    <x v="80"/>
    <x v="2"/>
    <x v="2"/>
    <n v="18"/>
  </r>
  <r>
    <x v="81"/>
    <x v="0"/>
    <x v="0"/>
    <n v="18"/>
  </r>
  <r>
    <x v="81"/>
    <x v="0"/>
    <x v="1"/>
    <n v="29"/>
  </r>
  <r>
    <x v="81"/>
    <x v="0"/>
    <x v="2"/>
    <n v="12"/>
  </r>
  <r>
    <x v="81"/>
    <x v="1"/>
    <x v="0"/>
    <n v="27"/>
  </r>
  <r>
    <x v="81"/>
    <x v="1"/>
    <x v="1"/>
    <n v="13"/>
  </r>
  <r>
    <x v="81"/>
    <x v="1"/>
    <x v="2"/>
    <n v="12"/>
  </r>
  <r>
    <x v="81"/>
    <x v="2"/>
    <x v="0"/>
    <n v="27"/>
  </r>
  <r>
    <x v="81"/>
    <x v="2"/>
    <x v="1"/>
    <n v="32"/>
  </r>
  <r>
    <x v="81"/>
    <x v="2"/>
    <x v="2"/>
    <n v="12"/>
  </r>
  <r>
    <x v="82"/>
    <x v="0"/>
    <x v="0"/>
    <n v="11"/>
  </r>
  <r>
    <x v="82"/>
    <x v="0"/>
    <x v="1"/>
    <n v="28"/>
  </r>
  <r>
    <x v="82"/>
    <x v="0"/>
    <x v="2"/>
    <n v="28"/>
  </r>
  <r>
    <x v="82"/>
    <x v="1"/>
    <x v="0"/>
    <n v="14"/>
  </r>
  <r>
    <x v="82"/>
    <x v="1"/>
    <x v="1"/>
    <n v="8"/>
  </r>
  <r>
    <x v="82"/>
    <x v="1"/>
    <x v="2"/>
    <n v="37"/>
  </r>
  <r>
    <x v="82"/>
    <x v="2"/>
    <x v="0"/>
    <n v="13"/>
  </r>
  <r>
    <x v="82"/>
    <x v="2"/>
    <x v="1"/>
    <n v="27"/>
  </r>
  <r>
    <x v="82"/>
    <x v="2"/>
    <x v="2"/>
    <n v="6"/>
  </r>
  <r>
    <x v="83"/>
    <x v="0"/>
    <x v="0"/>
    <n v="36"/>
  </r>
  <r>
    <x v="83"/>
    <x v="0"/>
    <x v="1"/>
    <n v="35"/>
  </r>
  <r>
    <x v="83"/>
    <x v="0"/>
    <x v="2"/>
    <n v="32"/>
  </r>
  <r>
    <x v="83"/>
    <x v="1"/>
    <x v="0"/>
    <n v="6"/>
  </r>
  <r>
    <x v="83"/>
    <x v="1"/>
    <x v="1"/>
    <n v="33"/>
  </r>
  <r>
    <x v="83"/>
    <x v="1"/>
    <x v="2"/>
    <n v="7"/>
  </r>
  <r>
    <x v="83"/>
    <x v="2"/>
    <x v="0"/>
    <n v="11"/>
  </r>
  <r>
    <x v="83"/>
    <x v="2"/>
    <x v="1"/>
    <n v="37"/>
  </r>
  <r>
    <x v="83"/>
    <x v="2"/>
    <x v="2"/>
    <n v="22"/>
  </r>
  <r>
    <x v="84"/>
    <x v="0"/>
    <x v="0"/>
    <n v="19"/>
  </r>
  <r>
    <x v="84"/>
    <x v="0"/>
    <x v="1"/>
    <n v="19"/>
  </r>
  <r>
    <x v="84"/>
    <x v="0"/>
    <x v="2"/>
    <n v="6"/>
  </r>
  <r>
    <x v="84"/>
    <x v="1"/>
    <x v="0"/>
    <n v="15"/>
  </r>
  <r>
    <x v="84"/>
    <x v="1"/>
    <x v="1"/>
    <n v="22"/>
  </r>
  <r>
    <x v="84"/>
    <x v="1"/>
    <x v="2"/>
    <n v="22"/>
  </r>
  <r>
    <x v="84"/>
    <x v="2"/>
    <x v="0"/>
    <n v="22"/>
  </r>
  <r>
    <x v="84"/>
    <x v="2"/>
    <x v="1"/>
    <n v="20"/>
  </r>
  <r>
    <x v="84"/>
    <x v="2"/>
    <x v="2"/>
    <n v="23"/>
  </r>
  <r>
    <x v="85"/>
    <x v="0"/>
    <x v="0"/>
    <n v="37"/>
  </r>
  <r>
    <x v="85"/>
    <x v="0"/>
    <x v="1"/>
    <n v="22"/>
  </r>
  <r>
    <x v="85"/>
    <x v="0"/>
    <x v="2"/>
    <n v="32"/>
  </r>
  <r>
    <x v="85"/>
    <x v="1"/>
    <x v="0"/>
    <n v="5"/>
  </r>
  <r>
    <x v="85"/>
    <x v="1"/>
    <x v="1"/>
    <n v="9"/>
  </r>
  <r>
    <x v="85"/>
    <x v="1"/>
    <x v="2"/>
    <n v="22"/>
  </r>
  <r>
    <x v="85"/>
    <x v="2"/>
    <x v="0"/>
    <n v="18"/>
  </r>
  <r>
    <x v="85"/>
    <x v="2"/>
    <x v="1"/>
    <n v="39"/>
  </r>
  <r>
    <x v="85"/>
    <x v="2"/>
    <x v="2"/>
    <n v="14"/>
  </r>
  <r>
    <x v="86"/>
    <x v="0"/>
    <x v="0"/>
    <n v="17"/>
  </r>
  <r>
    <x v="86"/>
    <x v="0"/>
    <x v="1"/>
    <n v="24"/>
  </r>
  <r>
    <x v="86"/>
    <x v="0"/>
    <x v="2"/>
    <n v="28"/>
  </r>
  <r>
    <x v="86"/>
    <x v="1"/>
    <x v="0"/>
    <n v="10"/>
  </r>
  <r>
    <x v="86"/>
    <x v="1"/>
    <x v="1"/>
    <n v="10"/>
  </r>
  <r>
    <x v="86"/>
    <x v="1"/>
    <x v="2"/>
    <n v="25"/>
  </r>
  <r>
    <x v="86"/>
    <x v="2"/>
    <x v="0"/>
    <n v="7"/>
  </r>
  <r>
    <x v="86"/>
    <x v="2"/>
    <x v="1"/>
    <n v="14"/>
  </r>
  <r>
    <x v="86"/>
    <x v="2"/>
    <x v="2"/>
    <n v="38"/>
  </r>
  <r>
    <x v="87"/>
    <x v="0"/>
    <x v="0"/>
    <n v="24"/>
  </r>
  <r>
    <x v="87"/>
    <x v="0"/>
    <x v="1"/>
    <n v="17"/>
  </r>
  <r>
    <x v="87"/>
    <x v="0"/>
    <x v="2"/>
    <n v="16"/>
  </r>
  <r>
    <x v="87"/>
    <x v="1"/>
    <x v="0"/>
    <n v="25"/>
  </r>
  <r>
    <x v="87"/>
    <x v="1"/>
    <x v="1"/>
    <n v="16"/>
  </r>
  <r>
    <x v="87"/>
    <x v="1"/>
    <x v="2"/>
    <n v="38"/>
  </r>
  <r>
    <x v="87"/>
    <x v="2"/>
    <x v="0"/>
    <n v="6"/>
  </r>
  <r>
    <x v="87"/>
    <x v="2"/>
    <x v="1"/>
    <n v="25"/>
  </r>
  <r>
    <x v="87"/>
    <x v="2"/>
    <x v="2"/>
    <n v="26"/>
  </r>
  <r>
    <x v="88"/>
    <x v="0"/>
    <x v="0"/>
    <n v="7"/>
  </r>
  <r>
    <x v="88"/>
    <x v="0"/>
    <x v="1"/>
    <n v="35"/>
  </r>
  <r>
    <x v="88"/>
    <x v="0"/>
    <x v="2"/>
    <n v="35"/>
  </r>
  <r>
    <x v="88"/>
    <x v="1"/>
    <x v="0"/>
    <n v="20"/>
  </r>
  <r>
    <x v="88"/>
    <x v="1"/>
    <x v="1"/>
    <n v="18"/>
  </r>
  <r>
    <x v="88"/>
    <x v="1"/>
    <x v="2"/>
    <n v="17"/>
  </r>
  <r>
    <x v="88"/>
    <x v="2"/>
    <x v="0"/>
    <n v="13"/>
  </r>
  <r>
    <x v="88"/>
    <x v="2"/>
    <x v="1"/>
    <n v="39"/>
  </r>
  <r>
    <x v="88"/>
    <x v="2"/>
    <x v="2"/>
    <n v="6"/>
  </r>
  <r>
    <x v="89"/>
    <x v="0"/>
    <x v="0"/>
    <n v="26"/>
  </r>
  <r>
    <x v="89"/>
    <x v="0"/>
    <x v="1"/>
    <n v="40"/>
  </r>
  <r>
    <x v="89"/>
    <x v="0"/>
    <x v="2"/>
    <n v="10"/>
  </r>
  <r>
    <x v="89"/>
    <x v="1"/>
    <x v="0"/>
    <n v="33"/>
  </r>
  <r>
    <x v="89"/>
    <x v="1"/>
    <x v="1"/>
    <n v="39"/>
  </r>
  <r>
    <x v="89"/>
    <x v="1"/>
    <x v="2"/>
    <n v="30"/>
  </r>
  <r>
    <x v="89"/>
    <x v="2"/>
    <x v="0"/>
    <n v="6"/>
  </r>
  <r>
    <x v="89"/>
    <x v="2"/>
    <x v="1"/>
    <n v="33"/>
  </r>
  <r>
    <x v="89"/>
    <x v="2"/>
    <x v="2"/>
    <n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E032BE-2BCB-4E1B-AC3C-E9A7D01D6A9C}" name="PivotTable1" cacheId="4" applyNumberFormats="0" applyBorderFormats="0" applyFontFormats="0" applyPatternFormats="0" applyAlignmentFormats="0" applyWidthHeightFormats="1" dataCaption="Values" updatedVersion="7" minRefreshableVersion="3" useAutoFormatting="1" colGrandTotals="0" itemPrintTitles="1" createdVersion="7" indent="0" compact="0" compactData="0" multipleFieldFilters="0" chartFormat="7">
  <location ref="A3:C13" firstHeaderRow="1" firstDataRow="1" firstDataCol="2"/>
  <pivotFields count="5">
    <pivotField compact="0" numFmtId="14" outline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0"/>
        <item sd="0" x="1"/>
        <item sd="0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2"/>
  </rowFields>
  <rowItems count="10">
    <i>
      <x/>
      <x/>
    </i>
    <i r="1">
      <x v="1"/>
    </i>
    <i r="1">
      <x v="2"/>
    </i>
    <i>
      <x v="1"/>
      <x/>
    </i>
    <i r="1">
      <x v="1"/>
    </i>
    <i r="1">
      <x v="2"/>
    </i>
    <i>
      <x v="2"/>
      <x/>
    </i>
    <i r="1">
      <x v="1"/>
    </i>
    <i r="1">
      <x v="2"/>
    </i>
    <i t="grand">
      <x/>
    </i>
  </rowItems>
  <colItems count="1">
    <i/>
  </colItems>
  <dataFields count="1">
    <dataField name="Average of Daily" fld="3" subtotal="average" baseField="1" baseItem="0" numFmtId="2"/>
  </dataFields>
  <formats count="1">
    <format dxfId="18">
      <pivotArea outline="0" collapsedLevelsAreSubtotals="1" fieldPosition="0"/>
    </format>
  </format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6A76053-E5F6-4F2A-81CD-91E4417061AE}" autoFormatId="16" applyNumberFormats="0" applyBorderFormats="0" applyFontFormats="0" applyPatternFormats="0" applyAlignmentFormats="0" applyWidthHeightFormats="0">
  <queryTableRefresh nextId="5">
    <queryTableFields count="4">
      <queryTableField id="1" name="Date" tableColumnId="1"/>
      <queryTableField id="2" name="SKU" tableColumnId="2"/>
      <queryTableField id="3" name="Warehouse" tableColumnId="3"/>
      <queryTableField id="4" name="Sale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90006B-1C9C-411D-83E0-D7DA0224002D}" name="SalesTable" displayName="SalesTable" ref="A1:D811" tableType="queryTable" totalsRowShown="0">
  <autoFilter ref="A1:D811" xr:uid="{6C90006B-1C9C-411D-83E0-D7DA0224002D}"/>
  <tableColumns count="4">
    <tableColumn id="1" xr3:uid="{45B324D0-662B-48C4-8F05-CDB32DE9F752}" uniqueName="1" name="Date" queryTableFieldId="1" dataDxfId="44"/>
    <tableColumn id="2" xr3:uid="{B1BE2FA1-705A-40B2-9AFC-650C05A0E1C8}" uniqueName="2" name="SKU" queryTableFieldId="2" dataDxfId="43"/>
    <tableColumn id="3" xr3:uid="{6A1B31E5-F3C0-4805-A348-03534108DD80}" uniqueName="3" name="Warehouse" queryTableFieldId="3" dataDxfId="42"/>
    <tableColumn id="4" xr3:uid="{AD80384E-41CB-483F-898D-4C4972750FBC}" uniqueName="4" name="Sales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B72B4E6-A147-4443-977D-98DF9F1321A1}" name="ForecastTable" displayName="ForecastTable" ref="A4:I13">
  <autoFilter ref="A4:I13" xr:uid="{AB72B4E6-A147-4443-977D-98DF9F1321A1}"/>
  <tableColumns count="9">
    <tableColumn id="1" xr3:uid="{DC55F0F5-564C-4C7F-A147-CE9D6D456C21}" name="SKU"/>
    <tableColumn id="2" xr3:uid="{DC40CD89-0FE5-4BB6-BAA8-3666B3911825}" name="Warehouse"/>
    <tableColumn id="3" xr3:uid="{41F3C89E-289A-41BA-A59A-394F4A12881B}" name="Avg Daily Sales" dataDxfId="10">
      <calculatedColumnFormula>AVERAGEIFS([1]Sales_Data!$D:$D,[1]Sales_Data!$B:$B,$A5,[1]Sales_Data!$C:$C,$B5)</calculatedColumnFormula>
    </tableColumn>
    <tableColumn id="4" xr3:uid="{8D1E81FC-CD88-4229-A9FB-F05C0A759D3D}" name="Lead Time (days)"/>
    <tableColumn id="5" xr3:uid="{0A2F39BC-12FD-4199-AB88-1D2560FECB88}" name="Safety Stock">
      <calculatedColumnFormula>ROUND($C5*2,0)</calculatedColumnFormula>
    </tableColumn>
    <tableColumn id="6" xr3:uid="{CFC7C81F-F075-48CC-B9EA-E81A414BFAB0}" name="ROP">
      <calculatedColumnFormula>ROUND($C5*$D5+$E5,0)</calculatedColumnFormula>
    </tableColumn>
    <tableColumn id="7" xr3:uid="{7AF2C270-F147-48F3-84FF-FD8AC3F785E3}" name="Current Stock"/>
    <tableColumn id="8" xr3:uid="{D954B914-E49B-4255-A6BC-99DEEB9FD7B1}" name="Status">
      <calculatedColumnFormula>IF($G5&lt;=$F5,"ORDER","OK")</calculatedColumnFormula>
    </tableColumn>
    <tableColumn id="9" xr3:uid="{6F133EDE-6230-486A-9A01-E5A2E66C8C73}" name="Forecast (7 days)">
      <calculatedColumnFormula>ROUND($C5*7,0)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9B64D-B517-4064-957B-07B0D2630AFB}">
  <dimension ref="A1:D811"/>
  <sheetViews>
    <sheetView topLeftCell="A193" workbookViewId="0">
      <selection activeCell="C15" sqref="C15"/>
    </sheetView>
  </sheetViews>
  <sheetFormatPr defaultRowHeight="15" x14ac:dyDescent="0.25"/>
  <cols>
    <col min="1" max="1" width="15" customWidth="1"/>
    <col min="2" max="2" width="12.42578125" customWidth="1"/>
    <col min="3" max="3" width="15.7109375" customWidth="1"/>
    <col min="4" max="4" width="13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45658</v>
      </c>
      <c r="B2" s="2" t="s">
        <v>4</v>
      </c>
      <c r="C2" s="2" t="s">
        <v>5</v>
      </c>
      <c r="D2">
        <v>9</v>
      </c>
    </row>
    <row r="3" spans="1:4" x14ac:dyDescent="0.25">
      <c r="A3" s="1">
        <v>45658</v>
      </c>
      <c r="B3" s="2" t="s">
        <v>4</v>
      </c>
      <c r="C3" s="2" t="s">
        <v>6</v>
      </c>
      <c r="D3">
        <v>24</v>
      </c>
    </row>
    <row r="4" spans="1:4" x14ac:dyDescent="0.25">
      <c r="A4" s="1">
        <v>45658</v>
      </c>
      <c r="B4" s="2" t="s">
        <v>4</v>
      </c>
      <c r="C4" s="2" t="s">
        <v>7</v>
      </c>
      <c r="D4">
        <v>23</v>
      </c>
    </row>
    <row r="5" spans="1:4" x14ac:dyDescent="0.25">
      <c r="A5" s="1">
        <v>45658</v>
      </c>
      <c r="B5" s="2" t="s">
        <v>8</v>
      </c>
      <c r="C5" s="2" t="s">
        <v>5</v>
      </c>
      <c r="D5">
        <v>10</v>
      </c>
    </row>
    <row r="6" spans="1:4" x14ac:dyDescent="0.25">
      <c r="A6" s="1">
        <v>45658</v>
      </c>
      <c r="B6" s="2" t="s">
        <v>8</v>
      </c>
      <c r="C6" s="2" t="s">
        <v>6</v>
      </c>
      <c r="D6">
        <v>35</v>
      </c>
    </row>
    <row r="7" spans="1:4" x14ac:dyDescent="0.25">
      <c r="A7" s="1">
        <v>45658</v>
      </c>
      <c r="B7" s="2" t="s">
        <v>8</v>
      </c>
      <c r="C7" s="2" t="s">
        <v>7</v>
      </c>
      <c r="D7">
        <v>36</v>
      </c>
    </row>
    <row r="8" spans="1:4" x14ac:dyDescent="0.25">
      <c r="A8" s="1">
        <v>45658</v>
      </c>
      <c r="B8" s="2" t="s">
        <v>9</v>
      </c>
      <c r="C8" s="2" t="s">
        <v>5</v>
      </c>
      <c r="D8">
        <v>10</v>
      </c>
    </row>
    <row r="9" spans="1:4" x14ac:dyDescent="0.25">
      <c r="A9" s="1">
        <v>45658</v>
      </c>
      <c r="B9" s="2" t="s">
        <v>9</v>
      </c>
      <c r="C9" s="2" t="s">
        <v>6</v>
      </c>
      <c r="D9">
        <v>10</v>
      </c>
    </row>
    <row r="10" spans="1:4" x14ac:dyDescent="0.25">
      <c r="A10" s="1">
        <v>45658</v>
      </c>
      <c r="B10" s="2" t="s">
        <v>9</v>
      </c>
      <c r="C10" s="2" t="s">
        <v>7</v>
      </c>
      <c r="D10">
        <v>6</v>
      </c>
    </row>
    <row r="11" spans="1:4" x14ac:dyDescent="0.25">
      <c r="A11" s="1">
        <v>45659</v>
      </c>
      <c r="B11" s="2" t="s">
        <v>4</v>
      </c>
      <c r="C11" s="2" t="s">
        <v>5</v>
      </c>
      <c r="D11">
        <v>21</v>
      </c>
    </row>
    <row r="12" spans="1:4" x14ac:dyDescent="0.25">
      <c r="A12" s="1">
        <v>45659</v>
      </c>
      <c r="B12" s="2" t="s">
        <v>4</v>
      </c>
      <c r="C12" s="2" t="s">
        <v>6</v>
      </c>
      <c r="D12">
        <v>16</v>
      </c>
    </row>
    <row r="13" spans="1:4" x14ac:dyDescent="0.25">
      <c r="A13" s="1">
        <v>45659</v>
      </c>
      <c r="B13" s="2" t="s">
        <v>4</v>
      </c>
      <c r="C13" s="2" t="s">
        <v>7</v>
      </c>
      <c r="D13">
        <v>39</v>
      </c>
    </row>
    <row r="14" spans="1:4" x14ac:dyDescent="0.25">
      <c r="A14" s="1">
        <v>45659</v>
      </c>
      <c r="B14" s="2" t="s">
        <v>8</v>
      </c>
      <c r="C14" s="2" t="s">
        <v>5</v>
      </c>
      <c r="D14">
        <v>40</v>
      </c>
    </row>
    <row r="15" spans="1:4" x14ac:dyDescent="0.25">
      <c r="A15" s="1">
        <v>45659</v>
      </c>
      <c r="B15" s="2" t="s">
        <v>8</v>
      </c>
      <c r="C15" s="2" t="s">
        <v>6</v>
      </c>
      <c r="D15">
        <v>39</v>
      </c>
    </row>
    <row r="16" spans="1:4" x14ac:dyDescent="0.25">
      <c r="A16" s="1">
        <v>45659</v>
      </c>
      <c r="B16" s="2" t="s">
        <v>8</v>
      </c>
      <c r="C16" s="2" t="s">
        <v>7</v>
      </c>
      <c r="D16">
        <v>8</v>
      </c>
    </row>
    <row r="17" spans="1:4" x14ac:dyDescent="0.25">
      <c r="A17" s="1">
        <v>45659</v>
      </c>
      <c r="B17" s="2" t="s">
        <v>9</v>
      </c>
      <c r="C17" s="2" t="s">
        <v>5</v>
      </c>
      <c r="D17">
        <v>9</v>
      </c>
    </row>
    <row r="18" spans="1:4" x14ac:dyDescent="0.25">
      <c r="A18" s="1">
        <v>45659</v>
      </c>
      <c r="B18" s="2" t="s">
        <v>9</v>
      </c>
      <c r="C18" s="2" t="s">
        <v>6</v>
      </c>
      <c r="D18">
        <v>5</v>
      </c>
    </row>
    <row r="19" spans="1:4" x14ac:dyDescent="0.25">
      <c r="A19" s="1">
        <v>45659</v>
      </c>
      <c r="B19" s="2" t="s">
        <v>9</v>
      </c>
      <c r="C19" s="2" t="s">
        <v>7</v>
      </c>
      <c r="D19">
        <v>16</v>
      </c>
    </row>
    <row r="20" spans="1:4" x14ac:dyDescent="0.25">
      <c r="A20" s="1">
        <v>45660</v>
      </c>
      <c r="B20" s="2" t="s">
        <v>4</v>
      </c>
      <c r="C20" s="2" t="s">
        <v>5</v>
      </c>
      <c r="D20">
        <v>18</v>
      </c>
    </row>
    <row r="21" spans="1:4" x14ac:dyDescent="0.25">
      <c r="A21" s="1">
        <v>45660</v>
      </c>
      <c r="B21" s="2" t="s">
        <v>4</v>
      </c>
      <c r="C21" s="2" t="s">
        <v>6</v>
      </c>
      <c r="D21">
        <v>31</v>
      </c>
    </row>
    <row r="22" spans="1:4" x14ac:dyDescent="0.25">
      <c r="A22" s="1">
        <v>45660</v>
      </c>
      <c r="B22" s="2" t="s">
        <v>4</v>
      </c>
      <c r="C22" s="2" t="s">
        <v>7</v>
      </c>
      <c r="D22">
        <v>32</v>
      </c>
    </row>
    <row r="23" spans="1:4" x14ac:dyDescent="0.25">
      <c r="A23" s="1">
        <v>45660</v>
      </c>
      <c r="B23" s="2" t="s">
        <v>8</v>
      </c>
      <c r="C23" s="2" t="s">
        <v>5</v>
      </c>
      <c r="D23">
        <v>20</v>
      </c>
    </row>
    <row r="24" spans="1:4" x14ac:dyDescent="0.25">
      <c r="A24" s="1">
        <v>45660</v>
      </c>
      <c r="B24" s="2" t="s">
        <v>8</v>
      </c>
      <c r="C24" s="2" t="s">
        <v>6</v>
      </c>
      <c r="D24">
        <v>32</v>
      </c>
    </row>
    <row r="25" spans="1:4" x14ac:dyDescent="0.25">
      <c r="A25" s="1">
        <v>45660</v>
      </c>
      <c r="B25" s="2" t="s">
        <v>8</v>
      </c>
      <c r="C25" s="2" t="s">
        <v>7</v>
      </c>
      <c r="D25">
        <v>28</v>
      </c>
    </row>
    <row r="26" spans="1:4" x14ac:dyDescent="0.25">
      <c r="A26" s="1">
        <v>45660</v>
      </c>
      <c r="B26" s="2" t="s">
        <v>9</v>
      </c>
      <c r="C26" s="2" t="s">
        <v>5</v>
      </c>
      <c r="D26">
        <v>10</v>
      </c>
    </row>
    <row r="27" spans="1:4" x14ac:dyDescent="0.25">
      <c r="A27" s="1">
        <v>45660</v>
      </c>
      <c r="B27" s="2" t="s">
        <v>9</v>
      </c>
      <c r="C27" s="2" t="s">
        <v>6</v>
      </c>
      <c r="D27">
        <v>30</v>
      </c>
    </row>
    <row r="28" spans="1:4" x14ac:dyDescent="0.25">
      <c r="A28" s="1">
        <v>45660</v>
      </c>
      <c r="B28" s="2" t="s">
        <v>9</v>
      </c>
      <c r="C28" s="2" t="s">
        <v>7</v>
      </c>
      <c r="D28">
        <v>29</v>
      </c>
    </row>
    <row r="29" spans="1:4" x14ac:dyDescent="0.25">
      <c r="A29" s="1">
        <v>45661</v>
      </c>
      <c r="B29" s="2" t="s">
        <v>4</v>
      </c>
      <c r="C29" s="2" t="s">
        <v>5</v>
      </c>
      <c r="D29">
        <v>27</v>
      </c>
    </row>
    <row r="30" spans="1:4" x14ac:dyDescent="0.25">
      <c r="A30" s="1">
        <v>45661</v>
      </c>
      <c r="B30" s="2" t="s">
        <v>4</v>
      </c>
      <c r="C30" s="2" t="s">
        <v>6</v>
      </c>
      <c r="D30">
        <v>7</v>
      </c>
    </row>
    <row r="31" spans="1:4" x14ac:dyDescent="0.25">
      <c r="A31" s="1">
        <v>45661</v>
      </c>
      <c r="B31" s="2" t="s">
        <v>4</v>
      </c>
      <c r="C31" s="2" t="s">
        <v>7</v>
      </c>
      <c r="D31">
        <v>40</v>
      </c>
    </row>
    <row r="32" spans="1:4" x14ac:dyDescent="0.25">
      <c r="A32" s="1">
        <v>45661</v>
      </c>
      <c r="B32" s="2" t="s">
        <v>8</v>
      </c>
      <c r="C32" s="2" t="s">
        <v>5</v>
      </c>
      <c r="D32">
        <v>40</v>
      </c>
    </row>
    <row r="33" spans="1:4" x14ac:dyDescent="0.25">
      <c r="A33" s="1">
        <v>45661</v>
      </c>
      <c r="B33" s="2" t="s">
        <v>8</v>
      </c>
      <c r="C33" s="2" t="s">
        <v>6</v>
      </c>
      <c r="D33">
        <v>27</v>
      </c>
    </row>
    <row r="34" spans="1:4" x14ac:dyDescent="0.25">
      <c r="A34" s="1">
        <v>45661</v>
      </c>
      <c r="B34" s="2" t="s">
        <v>8</v>
      </c>
      <c r="C34" s="2" t="s">
        <v>7</v>
      </c>
      <c r="D34">
        <v>24</v>
      </c>
    </row>
    <row r="35" spans="1:4" x14ac:dyDescent="0.25">
      <c r="A35" s="1">
        <v>45661</v>
      </c>
      <c r="B35" s="2" t="s">
        <v>9</v>
      </c>
      <c r="C35" s="2" t="s">
        <v>5</v>
      </c>
      <c r="D35">
        <v>5</v>
      </c>
    </row>
    <row r="36" spans="1:4" x14ac:dyDescent="0.25">
      <c r="A36" s="1">
        <v>45661</v>
      </c>
      <c r="B36" s="2" t="s">
        <v>9</v>
      </c>
      <c r="C36" s="2" t="s">
        <v>6</v>
      </c>
      <c r="D36">
        <v>12</v>
      </c>
    </row>
    <row r="37" spans="1:4" x14ac:dyDescent="0.25">
      <c r="A37" s="1">
        <v>45661</v>
      </c>
      <c r="B37" s="2" t="s">
        <v>9</v>
      </c>
      <c r="C37" s="2" t="s">
        <v>7</v>
      </c>
      <c r="D37">
        <v>7</v>
      </c>
    </row>
    <row r="38" spans="1:4" x14ac:dyDescent="0.25">
      <c r="A38" s="1">
        <v>45662</v>
      </c>
      <c r="B38" s="2" t="s">
        <v>4</v>
      </c>
      <c r="C38" s="2" t="s">
        <v>5</v>
      </c>
      <c r="D38">
        <v>11</v>
      </c>
    </row>
    <row r="39" spans="1:4" x14ac:dyDescent="0.25">
      <c r="A39" s="1">
        <v>45662</v>
      </c>
      <c r="B39" s="2" t="s">
        <v>4</v>
      </c>
      <c r="C39" s="2" t="s">
        <v>6</v>
      </c>
      <c r="D39">
        <v>31</v>
      </c>
    </row>
    <row r="40" spans="1:4" x14ac:dyDescent="0.25">
      <c r="A40" s="1">
        <v>45662</v>
      </c>
      <c r="B40" s="2" t="s">
        <v>4</v>
      </c>
      <c r="C40" s="2" t="s">
        <v>7</v>
      </c>
      <c r="D40">
        <v>18</v>
      </c>
    </row>
    <row r="41" spans="1:4" x14ac:dyDescent="0.25">
      <c r="A41" s="1">
        <v>45662</v>
      </c>
      <c r="B41" s="2" t="s">
        <v>8</v>
      </c>
      <c r="C41" s="2" t="s">
        <v>5</v>
      </c>
      <c r="D41">
        <v>11</v>
      </c>
    </row>
    <row r="42" spans="1:4" x14ac:dyDescent="0.25">
      <c r="A42" s="1">
        <v>45662</v>
      </c>
      <c r="B42" s="2" t="s">
        <v>8</v>
      </c>
      <c r="C42" s="2" t="s">
        <v>6</v>
      </c>
      <c r="D42">
        <v>19</v>
      </c>
    </row>
    <row r="43" spans="1:4" x14ac:dyDescent="0.25">
      <c r="A43" s="1">
        <v>45662</v>
      </c>
      <c r="B43" s="2" t="s">
        <v>8</v>
      </c>
      <c r="C43" s="2" t="s">
        <v>7</v>
      </c>
      <c r="D43">
        <v>8</v>
      </c>
    </row>
    <row r="44" spans="1:4" x14ac:dyDescent="0.25">
      <c r="A44" s="1">
        <v>45662</v>
      </c>
      <c r="B44" s="2" t="s">
        <v>9</v>
      </c>
      <c r="C44" s="2" t="s">
        <v>5</v>
      </c>
      <c r="D44">
        <v>17</v>
      </c>
    </row>
    <row r="45" spans="1:4" x14ac:dyDescent="0.25">
      <c r="A45" s="1">
        <v>45662</v>
      </c>
      <c r="B45" s="2" t="s">
        <v>9</v>
      </c>
      <c r="C45" s="2" t="s">
        <v>6</v>
      </c>
      <c r="D45">
        <v>39</v>
      </c>
    </row>
    <row r="46" spans="1:4" x14ac:dyDescent="0.25">
      <c r="A46" s="1">
        <v>45662</v>
      </c>
      <c r="B46" s="2" t="s">
        <v>9</v>
      </c>
      <c r="C46" s="2" t="s">
        <v>7</v>
      </c>
      <c r="D46">
        <v>28</v>
      </c>
    </row>
    <row r="47" spans="1:4" x14ac:dyDescent="0.25">
      <c r="A47" s="1">
        <v>45663</v>
      </c>
      <c r="B47" s="2" t="s">
        <v>4</v>
      </c>
      <c r="C47" s="2" t="s">
        <v>5</v>
      </c>
      <c r="D47">
        <v>8</v>
      </c>
    </row>
    <row r="48" spans="1:4" x14ac:dyDescent="0.25">
      <c r="A48" s="1">
        <v>45663</v>
      </c>
      <c r="B48" s="2" t="s">
        <v>4</v>
      </c>
      <c r="C48" s="2" t="s">
        <v>6</v>
      </c>
      <c r="D48">
        <v>28</v>
      </c>
    </row>
    <row r="49" spans="1:4" x14ac:dyDescent="0.25">
      <c r="A49" s="1">
        <v>45663</v>
      </c>
      <c r="B49" s="2" t="s">
        <v>4</v>
      </c>
      <c r="C49" s="2" t="s">
        <v>7</v>
      </c>
      <c r="D49">
        <v>11</v>
      </c>
    </row>
    <row r="50" spans="1:4" x14ac:dyDescent="0.25">
      <c r="A50" s="1">
        <v>45663</v>
      </c>
      <c r="B50" s="2" t="s">
        <v>8</v>
      </c>
      <c r="C50" s="2" t="s">
        <v>5</v>
      </c>
      <c r="D50">
        <v>25</v>
      </c>
    </row>
    <row r="51" spans="1:4" x14ac:dyDescent="0.25">
      <c r="A51" s="1">
        <v>45663</v>
      </c>
      <c r="B51" s="2" t="s">
        <v>8</v>
      </c>
      <c r="C51" s="2" t="s">
        <v>6</v>
      </c>
      <c r="D51">
        <v>5</v>
      </c>
    </row>
    <row r="52" spans="1:4" x14ac:dyDescent="0.25">
      <c r="A52" s="1">
        <v>45663</v>
      </c>
      <c r="B52" s="2" t="s">
        <v>8</v>
      </c>
      <c r="C52" s="2" t="s">
        <v>7</v>
      </c>
      <c r="D52">
        <v>29</v>
      </c>
    </row>
    <row r="53" spans="1:4" x14ac:dyDescent="0.25">
      <c r="A53" s="1">
        <v>45663</v>
      </c>
      <c r="B53" s="2" t="s">
        <v>9</v>
      </c>
      <c r="C53" s="2" t="s">
        <v>5</v>
      </c>
      <c r="D53">
        <v>20</v>
      </c>
    </row>
    <row r="54" spans="1:4" x14ac:dyDescent="0.25">
      <c r="A54" s="1">
        <v>45663</v>
      </c>
      <c r="B54" s="2" t="s">
        <v>9</v>
      </c>
      <c r="C54" s="2" t="s">
        <v>6</v>
      </c>
      <c r="D54">
        <v>15</v>
      </c>
    </row>
    <row r="55" spans="1:4" x14ac:dyDescent="0.25">
      <c r="A55" s="1">
        <v>45663</v>
      </c>
      <c r="B55" s="2" t="s">
        <v>9</v>
      </c>
      <c r="C55" s="2" t="s">
        <v>7</v>
      </c>
      <c r="D55">
        <v>8</v>
      </c>
    </row>
    <row r="56" spans="1:4" x14ac:dyDescent="0.25">
      <c r="A56" s="1">
        <v>45664</v>
      </c>
      <c r="B56" s="2" t="s">
        <v>4</v>
      </c>
      <c r="C56" s="2" t="s">
        <v>5</v>
      </c>
      <c r="D56">
        <v>6</v>
      </c>
    </row>
    <row r="57" spans="1:4" x14ac:dyDescent="0.25">
      <c r="A57" s="1">
        <v>45664</v>
      </c>
      <c r="B57" s="2" t="s">
        <v>4</v>
      </c>
      <c r="C57" s="2" t="s">
        <v>6</v>
      </c>
      <c r="D57">
        <v>22</v>
      </c>
    </row>
    <row r="58" spans="1:4" x14ac:dyDescent="0.25">
      <c r="A58" s="1">
        <v>45664</v>
      </c>
      <c r="B58" s="2" t="s">
        <v>4</v>
      </c>
      <c r="C58" s="2" t="s">
        <v>7</v>
      </c>
      <c r="D58">
        <v>27</v>
      </c>
    </row>
    <row r="59" spans="1:4" x14ac:dyDescent="0.25">
      <c r="A59" s="1">
        <v>45664</v>
      </c>
      <c r="B59" s="2" t="s">
        <v>8</v>
      </c>
      <c r="C59" s="2" t="s">
        <v>5</v>
      </c>
      <c r="D59">
        <v>23</v>
      </c>
    </row>
    <row r="60" spans="1:4" x14ac:dyDescent="0.25">
      <c r="A60" s="1">
        <v>45664</v>
      </c>
      <c r="B60" s="2" t="s">
        <v>8</v>
      </c>
      <c r="C60" s="2" t="s">
        <v>6</v>
      </c>
      <c r="D60">
        <v>6</v>
      </c>
    </row>
    <row r="61" spans="1:4" x14ac:dyDescent="0.25">
      <c r="A61" s="1">
        <v>45664</v>
      </c>
      <c r="B61" s="2" t="s">
        <v>8</v>
      </c>
      <c r="C61" s="2" t="s">
        <v>7</v>
      </c>
      <c r="D61">
        <v>31</v>
      </c>
    </row>
    <row r="62" spans="1:4" x14ac:dyDescent="0.25">
      <c r="A62" s="1">
        <v>45664</v>
      </c>
      <c r="B62" s="2" t="s">
        <v>9</v>
      </c>
      <c r="C62" s="2" t="s">
        <v>5</v>
      </c>
      <c r="D62">
        <v>28</v>
      </c>
    </row>
    <row r="63" spans="1:4" x14ac:dyDescent="0.25">
      <c r="A63" s="1">
        <v>45664</v>
      </c>
      <c r="B63" s="2" t="s">
        <v>9</v>
      </c>
      <c r="C63" s="2" t="s">
        <v>6</v>
      </c>
      <c r="D63">
        <v>22</v>
      </c>
    </row>
    <row r="64" spans="1:4" x14ac:dyDescent="0.25">
      <c r="A64" s="1">
        <v>45664</v>
      </c>
      <c r="B64" s="2" t="s">
        <v>9</v>
      </c>
      <c r="C64" s="2" t="s">
        <v>7</v>
      </c>
      <c r="D64">
        <v>9</v>
      </c>
    </row>
    <row r="65" spans="1:4" x14ac:dyDescent="0.25">
      <c r="A65" s="1">
        <v>45665</v>
      </c>
      <c r="B65" s="2" t="s">
        <v>4</v>
      </c>
      <c r="C65" s="2" t="s">
        <v>5</v>
      </c>
      <c r="D65">
        <v>35</v>
      </c>
    </row>
    <row r="66" spans="1:4" x14ac:dyDescent="0.25">
      <c r="A66" s="1">
        <v>45665</v>
      </c>
      <c r="B66" s="2" t="s">
        <v>4</v>
      </c>
      <c r="C66" s="2" t="s">
        <v>6</v>
      </c>
      <c r="D66">
        <v>27</v>
      </c>
    </row>
    <row r="67" spans="1:4" x14ac:dyDescent="0.25">
      <c r="A67" s="1">
        <v>45665</v>
      </c>
      <c r="B67" s="2" t="s">
        <v>4</v>
      </c>
      <c r="C67" s="2" t="s">
        <v>7</v>
      </c>
      <c r="D67">
        <v>5</v>
      </c>
    </row>
    <row r="68" spans="1:4" x14ac:dyDescent="0.25">
      <c r="A68" s="1">
        <v>45665</v>
      </c>
      <c r="B68" s="2" t="s">
        <v>8</v>
      </c>
      <c r="C68" s="2" t="s">
        <v>5</v>
      </c>
      <c r="D68">
        <v>32</v>
      </c>
    </row>
    <row r="69" spans="1:4" x14ac:dyDescent="0.25">
      <c r="A69" s="1">
        <v>45665</v>
      </c>
      <c r="B69" s="2" t="s">
        <v>8</v>
      </c>
      <c r="C69" s="2" t="s">
        <v>6</v>
      </c>
      <c r="D69">
        <v>23</v>
      </c>
    </row>
    <row r="70" spans="1:4" x14ac:dyDescent="0.25">
      <c r="A70" s="1">
        <v>45665</v>
      </c>
      <c r="B70" s="2" t="s">
        <v>8</v>
      </c>
      <c r="C70" s="2" t="s">
        <v>7</v>
      </c>
      <c r="D70">
        <v>19</v>
      </c>
    </row>
    <row r="71" spans="1:4" x14ac:dyDescent="0.25">
      <c r="A71" s="1">
        <v>45665</v>
      </c>
      <c r="B71" s="2" t="s">
        <v>9</v>
      </c>
      <c r="C71" s="2" t="s">
        <v>5</v>
      </c>
      <c r="D71">
        <v>33</v>
      </c>
    </row>
    <row r="72" spans="1:4" x14ac:dyDescent="0.25">
      <c r="A72" s="1">
        <v>45665</v>
      </c>
      <c r="B72" s="2" t="s">
        <v>9</v>
      </c>
      <c r="C72" s="2" t="s">
        <v>6</v>
      </c>
      <c r="D72">
        <v>37</v>
      </c>
    </row>
    <row r="73" spans="1:4" x14ac:dyDescent="0.25">
      <c r="A73" s="1">
        <v>45665</v>
      </c>
      <c r="B73" s="2" t="s">
        <v>9</v>
      </c>
      <c r="C73" s="2" t="s">
        <v>7</v>
      </c>
      <c r="D73">
        <v>34</v>
      </c>
    </row>
    <row r="74" spans="1:4" x14ac:dyDescent="0.25">
      <c r="A74" s="1">
        <v>45666</v>
      </c>
      <c r="B74" s="2" t="s">
        <v>4</v>
      </c>
      <c r="C74" s="2" t="s">
        <v>5</v>
      </c>
      <c r="D74">
        <v>11</v>
      </c>
    </row>
    <row r="75" spans="1:4" x14ac:dyDescent="0.25">
      <c r="A75" s="1">
        <v>45666</v>
      </c>
      <c r="B75" s="2" t="s">
        <v>4</v>
      </c>
      <c r="C75" s="2" t="s">
        <v>6</v>
      </c>
      <c r="D75">
        <v>21</v>
      </c>
    </row>
    <row r="76" spans="1:4" x14ac:dyDescent="0.25">
      <c r="A76" s="1">
        <v>45666</v>
      </c>
      <c r="B76" s="2" t="s">
        <v>4</v>
      </c>
      <c r="C76" s="2" t="s">
        <v>7</v>
      </c>
      <c r="D76">
        <v>34</v>
      </c>
    </row>
    <row r="77" spans="1:4" x14ac:dyDescent="0.25">
      <c r="A77" s="1">
        <v>45666</v>
      </c>
      <c r="B77" s="2" t="s">
        <v>8</v>
      </c>
      <c r="C77" s="2" t="s">
        <v>5</v>
      </c>
      <c r="D77">
        <v>10</v>
      </c>
    </row>
    <row r="78" spans="1:4" x14ac:dyDescent="0.25">
      <c r="A78" s="1">
        <v>45666</v>
      </c>
      <c r="B78" s="2" t="s">
        <v>8</v>
      </c>
      <c r="C78" s="2" t="s">
        <v>6</v>
      </c>
      <c r="D78">
        <v>7</v>
      </c>
    </row>
    <row r="79" spans="1:4" x14ac:dyDescent="0.25">
      <c r="A79" s="1">
        <v>45666</v>
      </c>
      <c r="B79" s="2" t="s">
        <v>8</v>
      </c>
      <c r="C79" s="2" t="s">
        <v>7</v>
      </c>
      <c r="D79">
        <v>24</v>
      </c>
    </row>
    <row r="80" spans="1:4" x14ac:dyDescent="0.25">
      <c r="A80" s="1">
        <v>45666</v>
      </c>
      <c r="B80" s="2" t="s">
        <v>9</v>
      </c>
      <c r="C80" s="2" t="s">
        <v>5</v>
      </c>
      <c r="D80">
        <v>22</v>
      </c>
    </row>
    <row r="81" spans="1:4" x14ac:dyDescent="0.25">
      <c r="A81" s="1">
        <v>45666</v>
      </c>
      <c r="B81" s="2" t="s">
        <v>9</v>
      </c>
      <c r="C81" s="2" t="s">
        <v>6</v>
      </c>
      <c r="D81">
        <v>18</v>
      </c>
    </row>
    <row r="82" spans="1:4" x14ac:dyDescent="0.25">
      <c r="A82" s="1">
        <v>45666</v>
      </c>
      <c r="B82" s="2" t="s">
        <v>9</v>
      </c>
      <c r="C82" s="2" t="s">
        <v>7</v>
      </c>
      <c r="D82">
        <v>28</v>
      </c>
    </row>
    <row r="83" spans="1:4" x14ac:dyDescent="0.25">
      <c r="A83" s="1">
        <v>45667</v>
      </c>
      <c r="B83" s="2" t="s">
        <v>4</v>
      </c>
      <c r="C83" s="2" t="s">
        <v>5</v>
      </c>
      <c r="D83">
        <v>17</v>
      </c>
    </row>
    <row r="84" spans="1:4" x14ac:dyDescent="0.25">
      <c r="A84" s="1">
        <v>45667</v>
      </c>
      <c r="B84" s="2" t="s">
        <v>4</v>
      </c>
      <c r="C84" s="2" t="s">
        <v>6</v>
      </c>
      <c r="D84">
        <v>20</v>
      </c>
    </row>
    <row r="85" spans="1:4" x14ac:dyDescent="0.25">
      <c r="A85" s="1">
        <v>45667</v>
      </c>
      <c r="B85" s="2" t="s">
        <v>4</v>
      </c>
      <c r="C85" s="2" t="s">
        <v>7</v>
      </c>
      <c r="D85">
        <v>21</v>
      </c>
    </row>
    <row r="86" spans="1:4" x14ac:dyDescent="0.25">
      <c r="A86" s="1">
        <v>45667</v>
      </c>
      <c r="B86" s="2" t="s">
        <v>8</v>
      </c>
      <c r="C86" s="2" t="s">
        <v>5</v>
      </c>
      <c r="D86">
        <v>39</v>
      </c>
    </row>
    <row r="87" spans="1:4" x14ac:dyDescent="0.25">
      <c r="A87" s="1">
        <v>45667</v>
      </c>
      <c r="B87" s="2" t="s">
        <v>8</v>
      </c>
      <c r="C87" s="2" t="s">
        <v>6</v>
      </c>
      <c r="D87">
        <v>22</v>
      </c>
    </row>
    <row r="88" spans="1:4" x14ac:dyDescent="0.25">
      <c r="A88" s="1">
        <v>45667</v>
      </c>
      <c r="B88" s="2" t="s">
        <v>8</v>
      </c>
      <c r="C88" s="2" t="s">
        <v>7</v>
      </c>
      <c r="D88">
        <v>10</v>
      </c>
    </row>
    <row r="89" spans="1:4" x14ac:dyDescent="0.25">
      <c r="A89" s="1">
        <v>45667</v>
      </c>
      <c r="B89" s="2" t="s">
        <v>9</v>
      </c>
      <c r="C89" s="2" t="s">
        <v>5</v>
      </c>
      <c r="D89">
        <v>17</v>
      </c>
    </row>
    <row r="90" spans="1:4" x14ac:dyDescent="0.25">
      <c r="A90" s="1">
        <v>45667</v>
      </c>
      <c r="B90" s="2" t="s">
        <v>9</v>
      </c>
      <c r="C90" s="2" t="s">
        <v>6</v>
      </c>
      <c r="D90">
        <v>24</v>
      </c>
    </row>
    <row r="91" spans="1:4" x14ac:dyDescent="0.25">
      <c r="A91" s="1">
        <v>45667</v>
      </c>
      <c r="B91" s="2" t="s">
        <v>9</v>
      </c>
      <c r="C91" s="2" t="s">
        <v>7</v>
      </c>
      <c r="D91">
        <v>37</v>
      </c>
    </row>
    <row r="92" spans="1:4" x14ac:dyDescent="0.25">
      <c r="A92" s="1">
        <v>45668</v>
      </c>
      <c r="B92" s="2" t="s">
        <v>4</v>
      </c>
      <c r="C92" s="2" t="s">
        <v>5</v>
      </c>
      <c r="D92">
        <v>36</v>
      </c>
    </row>
    <row r="93" spans="1:4" x14ac:dyDescent="0.25">
      <c r="A93" s="1">
        <v>45668</v>
      </c>
      <c r="B93" s="2" t="s">
        <v>4</v>
      </c>
      <c r="C93" s="2" t="s">
        <v>6</v>
      </c>
      <c r="D93">
        <v>33</v>
      </c>
    </row>
    <row r="94" spans="1:4" x14ac:dyDescent="0.25">
      <c r="A94" s="1">
        <v>45668</v>
      </c>
      <c r="B94" s="2" t="s">
        <v>4</v>
      </c>
      <c r="C94" s="2" t="s">
        <v>7</v>
      </c>
      <c r="D94">
        <v>36</v>
      </c>
    </row>
    <row r="95" spans="1:4" x14ac:dyDescent="0.25">
      <c r="A95" s="1">
        <v>45668</v>
      </c>
      <c r="B95" s="2" t="s">
        <v>8</v>
      </c>
      <c r="C95" s="2" t="s">
        <v>5</v>
      </c>
      <c r="D95">
        <v>33</v>
      </c>
    </row>
    <row r="96" spans="1:4" x14ac:dyDescent="0.25">
      <c r="A96" s="1">
        <v>45668</v>
      </c>
      <c r="B96" s="2" t="s">
        <v>8</v>
      </c>
      <c r="C96" s="2" t="s">
        <v>6</v>
      </c>
      <c r="D96">
        <v>5</v>
      </c>
    </row>
    <row r="97" spans="1:4" x14ac:dyDescent="0.25">
      <c r="A97" s="1">
        <v>45668</v>
      </c>
      <c r="B97" s="2" t="s">
        <v>8</v>
      </c>
      <c r="C97" s="2" t="s">
        <v>7</v>
      </c>
      <c r="D97">
        <v>38</v>
      </c>
    </row>
    <row r="98" spans="1:4" x14ac:dyDescent="0.25">
      <c r="A98" s="1">
        <v>45668</v>
      </c>
      <c r="B98" s="2" t="s">
        <v>9</v>
      </c>
      <c r="C98" s="2" t="s">
        <v>5</v>
      </c>
      <c r="D98">
        <v>25</v>
      </c>
    </row>
    <row r="99" spans="1:4" x14ac:dyDescent="0.25">
      <c r="A99" s="1">
        <v>45668</v>
      </c>
      <c r="B99" s="2" t="s">
        <v>9</v>
      </c>
      <c r="C99" s="2" t="s">
        <v>6</v>
      </c>
      <c r="D99">
        <v>31</v>
      </c>
    </row>
    <row r="100" spans="1:4" x14ac:dyDescent="0.25">
      <c r="A100" s="1">
        <v>45668</v>
      </c>
      <c r="B100" s="2" t="s">
        <v>9</v>
      </c>
      <c r="C100" s="2" t="s">
        <v>7</v>
      </c>
      <c r="D100">
        <v>15</v>
      </c>
    </row>
    <row r="101" spans="1:4" x14ac:dyDescent="0.25">
      <c r="A101" s="1">
        <v>45669</v>
      </c>
      <c r="B101" s="2" t="s">
        <v>4</v>
      </c>
      <c r="C101" s="2" t="s">
        <v>5</v>
      </c>
      <c r="D101">
        <v>22</v>
      </c>
    </row>
    <row r="102" spans="1:4" x14ac:dyDescent="0.25">
      <c r="A102" s="1">
        <v>45669</v>
      </c>
      <c r="B102" s="2" t="s">
        <v>4</v>
      </c>
      <c r="C102" s="2" t="s">
        <v>6</v>
      </c>
      <c r="D102">
        <v>19</v>
      </c>
    </row>
    <row r="103" spans="1:4" x14ac:dyDescent="0.25">
      <c r="A103" s="1">
        <v>45669</v>
      </c>
      <c r="B103" s="2" t="s">
        <v>4</v>
      </c>
      <c r="C103" s="2" t="s">
        <v>7</v>
      </c>
      <c r="D103">
        <v>11</v>
      </c>
    </row>
    <row r="104" spans="1:4" x14ac:dyDescent="0.25">
      <c r="A104" s="1">
        <v>45669</v>
      </c>
      <c r="B104" s="2" t="s">
        <v>8</v>
      </c>
      <c r="C104" s="2" t="s">
        <v>5</v>
      </c>
      <c r="D104">
        <v>25</v>
      </c>
    </row>
    <row r="105" spans="1:4" x14ac:dyDescent="0.25">
      <c r="A105" s="1">
        <v>45669</v>
      </c>
      <c r="B105" s="2" t="s">
        <v>8</v>
      </c>
      <c r="C105" s="2" t="s">
        <v>6</v>
      </c>
      <c r="D105">
        <v>21</v>
      </c>
    </row>
    <row r="106" spans="1:4" x14ac:dyDescent="0.25">
      <c r="A106" s="1">
        <v>45669</v>
      </c>
      <c r="B106" s="2" t="s">
        <v>8</v>
      </c>
      <c r="C106" s="2" t="s">
        <v>7</v>
      </c>
      <c r="D106">
        <v>10</v>
      </c>
    </row>
    <row r="107" spans="1:4" x14ac:dyDescent="0.25">
      <c r="A107" s="1">
        <v>45669</v>
      </c>
      <c r="B107" s="2" t="s">
        <v>9</v>
      </c>
      <c r="C107" s="2" t="s">
        <v>5</v>
      </c>
      <c r="D107">
        <v>16</v>
      </c>
    </row>
    <row r="108" spans="1:4" x14ac:dyDescent="0.25">
      <c r="A108" s="1">
        <v>45669</v>
      </c>
      <c r="B108" s="2" t="s">
        <v>9</v>
      </c>
      <c r="C108" s="2" t="s">
        <v>6</v>
      </c>
      <c r="D108">
        <v>19</v>
      </c>
    </row>
    <row r="109" spans="1:4" x14ac:dyDescent="0.25">
      <c r="A109" s="1">
        <v>45669</v>
      </c>
      <c r="B109" s="2" t="s">
        <v>9</v>
      </c>
      <c r="C109" s="2" t="s">
        <v>7</v>
      </c>
      <c r="D109">
        <v>37</v>
      </c>
    </row>
    <row r="110" spans="1:4" x14ac:dyDescent="0.25">
      <c r="A110" s="1">
        <v>45670</v>
      </c>
      <c r="B110" s="2" t="s">
        <v>4</v>
      </c>
      <c r="C110" s="2" t="s">
        <v>5</v>
      </c>
      <c r="D110">
        <v>17</v>
      </c>
    </row>
    <row r="111" spans="1:4" x14ac:dyDescent="0.25">
      <c r="A111" s="1">
        <v>45670</v>
      </c>
      <c r="B111" s="2" t="s">
        <v>4</v>
      </c>
      <c r="C111" s="2" t="s">
        <v>6</v>
      </c>
      <c r="D111">
        <v>11</v>
      </c>
    </row>
    <row r="112" spans="1:4" x14ac:dyDescent="0.25">
      <c r="A112" s="1">
        <v>45670</v>
      </c>
      <c r="B112" s="2" t="s">
        <v>4</v>
      </c>
      <c r="C112" s="2" t="s">
        <v>7</v>
      </c>
      <c r="D112">
        <v>10</v>
      </c>
    </row>
    <row r="113" spans="1:4" x14ac:dyDescent="0.25">
      <c r="A113" s="1">
        <v>45670</v>
      </c>
      <c r="B113" s="2" t="s">
        <v>8</v>
      </c>
      <c r="C113" s="2" t="s">
        <v>5</v>
      </c>
      <c r="D113">
        <v>8</v>
      </c>
    </row>
    <row r="114" spans="1:4" x14ac:dyDescent="0.25">
      <c r="A114" s="1">
        <v>45670</v>
      </c>
      <c r="B114" s="2" t="s">
        <v>8</v>
      </c>
      <c r="C114" s="2" t="s">
        <v>6</v>
      </c>
      <c r="D114">
        <v>7</v>
      </c>
    </row>
    <row r="115" spans="1:4" x14ac:dyDescent="0.25">
      <c r="A115" s="1">
        <v>45670</v>
      </c>
      <c r="B115" s="2" t="s">
        <v>8</v>
      </c>
      <c r="C115" s="2" t="s">
        <v>7</v>
      </c>
      <c r="D115">
        <v>40</v>
      </c>
    </row>
    <row r="116" spans="1:4" x14ac:dyDescent="0.25">
      <c r="A116" s="1">
        <v>45670</v>
      </c>
      <c r="B116" s="2" t="s">
        <v>9</v>
      </c>
      <c r="C116" s="2" t="s">
        <v>5</v>
      </c>
      <c r="D116">
        <v>36</v>
      </c>
    </row>
    <row r="117" spans="1:4" x14ac:dyDescent="0.25">
      <c r="A117" s="1">
        <v>45670</v>
      </c>
      <c r="B117" s="2" t="s">
        <v>9</v>
      </c>
      <c r="C117" s="2" t="s">
        <v>6</v>
      </c>
      <c r="D117">
        <v>14</v>
      </c>
    </row>
    <row r="118" spans="1:4" x14ac:dyDescent="0.25">
      <c r="A118" s="1">
        <v>45670</v>
      </c>
      <c r="B118" s="2" t="s">
        <v>9</v>
      </c>
      <c r="C118" s="2" t="s">
        <v>7</v>
      </c>
      <c r="D118">
        <v>22</v>
      </c>
    </row>
    <row r="119" spans="1:4" x14ac:dyDescent="0.25">
      <c r="A119" s="1">
        <v>45671</v>
      </c>
      <c r="B119" s="2" t="s">
        <v>4</v>
      </c>
      <c r="C119" s="2" t="s">
        <v>5</v>
      </c>
      <c r="D119">
        <v>29</v>
      </c>
    </row>
    <row r="120" spans="1:4" x14ac:dyDescent="0.25">
      <c r="A120" s="1">
        <v>45671</v>
      </c>
      <c r="B120" s="2" t="s">
        <v>4</v>
      </c>
      <c r="C120" s="2" t="s">
        <v>6</v>
      </c>
      <c r="D120">
        <v>7</v>
      </c>
    </row>
    <row r="121" spans="1:4" x14ac:dyDescent="0.25">
      <c r="A121" s="1">
        <v>45671</v>
      </c>
      <c r="B121" s="2" t="s">
        <v>4</v>
      </c>
      <c r="C121" s="2" t="s">
        <v>7</v>
      </c>
      <c r="D121">
        <v>13</v>
      </c>
    </row>
    <row r="122" spans="1:4" x14ac:dyDescent="0.25">
      <c r="A122" s="1">
        <v>45671</v>
      </c>
      <c r="B122" s="2" t="s">
        <v>8</v>
      </c>
      <c r="C122" s="2" t="s">
        <v>5</v>
      </c>
      <c r="D122">
        <v>7</v>
      </c>
    </row>
    <row r="123" spans="1:4" x14ac:dyDescent="0.25">
      <c r="A123" s="1">
        <v>45671</v>
      </c>
      <c r="B123" s="2" t="s">
        <v>8</v>
      </c>
      <c r="C123" s="2" t="s">
        <v>6</v>
      </c>
      <c r="D123">
        <v>7</v>
      </c>
    </row>
    <row r="124" spans="1:4" x14ac:dyDescent="0.25">
      <c r="A124" s="1">
        <v>45671</v>
      </c>
      <c r="B124" s="2" t="s">
        <v>8</v>
      </c>
      <c r="C124" s="2" t="s">
        <v>7</v>
      </c>
      <c r="D124">
        <v>37</v>
      </c>
    </row>
    <row r="125" spans="1:4" x14ac:dyDescent="0.25">
      <c r="A125" s="1">
        <v>45671</v>
      </c>
      <c r="B125" s="2" t="s">
        <v>9</v>
      </c>
      <c r="C125" s="2" t="s">
        <v>5</v>
      </c>
      <c r="D125">
        <v>8</v>
      </c>
    </row>
    <row r="126" spans="1:4" x14ac:dyDescent="0.25">
      <c r="A126" s="1">
        <v>45671</v>
      </c>
      <c r="B126" s="2" t="s">
        <v>9</v>
      </c>
      <c r="C126" s="2" t="s">
        <v>6</v>
      </c>
      <c r="D126">
        <v>13</v>
      </c>
    </row>
    <row r="127" spans="1:4" x14ac:dyDescent="0.25">
      <c r="A127" s="1">
        <v>45671</v>
      </c>
      <c r="B127" s="2" t="s">
        <v>9</v>
      </c>
      <c r="C127" s="2" t="s">
        <v>7</v>
      </c>
      <c r="D127">
        <v>13</v>
      </c>
    </row>
    <row r="128" spans="1:4" x14ac:dyDescent="0.25">
      <c r="A128" s="1">
        <v>45672</v>
      </c>
      <c r="B128" s="2" t="s">
        <v>4</v>
      </c>
      <c r="C128" s="2" t="s">
        <v>5</v>
      </c>
      <c r="D128">
        <v>15</v>
      </c>
    </row>
    <row r="129" spans="1:4" x14ac:dyDescent="0.25">
      <c r="A129" s="1">
        <v>45672</v>
      </c>
      <c r="B129" s="2" t="s">
        <v>4</v>
      </c>
      <c r="C129" s="2" t="s">
        <v>6</v>
      </c>
      <c r="D129">
        <v>36</v>
      </c>
    </row>
    <row r="130" spans="1:4" x14ac:dyDescent="0.25">
      <c r="A130" s="1">
        <v>45672</v>
      </c>
      <c r="B130" s="2" t="s">
        <v>4</v>
      </c>
      <c r="C130" s="2" t="s">
        <v>7</v>
      </c>
      <c r="D130">
        <v>37</v>
      </c>
    </row>
    <row r="131" spans="1:4" x14ac:dyDescent="0.25">
      <c r="A131" s="1">
        <v>45672</v>
      </c>
      <c r="B131" s="2" t="s">
        <v>8</v>
      </c>
      <c r="C131" s="2" t="s">
        <v>5</v>
      </c>
      <c r="D131">
        <v>10</v>
      </c>
    </row>
    <row r="132" spans="1:4" x14ac:dyDescent="0.25">
      <c r="A132" s="1">
        <v>45672</v>
      </c>
      <c r="B132" s="2" t="s">
        <v>8</v>
      </c>
      <c r="C132" s="2" t="s">
        <v>6</v>
      </c>
      <c r="D132">
        <v>14</v>
      </c>
    </row>
    <row r="133" spans="1:4" x14ac:dyDescent="0.25">
      <c r="A133" s="1">
        <v>45672</v>
      </c>
      <c r="B133" s="2" t="s">
        <v>8</v>
      </c>
      <c r="C133" s="2" t="s">
        <v>7</v>
      </c>
      <c r="D133">
        <v>37</v>
      </c>
    </row>
    <row r="134" spans="1:4" x14ac:dyDescent="0.25">
      <c r="A134" s="1">
        <v>45672</v>
      </c>
      <c r="B134" s="2" t="s">
        <v>9</v>
      </c>
      <c r="C134" s="2" t="s">
        <v>5</v>
      </c>
      <c r="D134">
        <v>27</v>
      </c>
    </row>
    <row r="135" spans="1:4" x14ac:dyDescent="0.25">
      <c r="A135" s="1">
        <v>45672</v>
      </c>
      <c r="B135" s="2" t="s">
        <v>9</v>
      </c>
      <c r="C135" s="2" t="s">
        <v>6</v>
      </c>
      <c r="D135">
        <v>38</v>
      </c>
    </row>
    <row r="136" spans="1:4" x14ac:dyDescent="0.25">
      <c r="A136" s="1">
        <v>45672</v>
      </c>
      <c r="B136" s="2" t="s">
        <v>9</v>
      </c>
      <c r="C136" s="2" t="s">
        <v>7</v>
      </c>
      <c r="D136">
        <v>35</v>
      </c>
    </row>
    <row r="137" spans="1:4" x14ac:dyDescent="0.25">
      <c r="A137" s="1">
        <v>45673</v>
      </c>
      <c r="B137" s="2" t="s">
        <v>4</v>
      </c>
      <c r="C137" s="2" t="s">
        <v>5</v>
      </c>
      <c r="D137">
        <v>23</v>
      </c>
    </row>
    <row r="138" spans="1:4" x14ac:dyDescent="0.25">
      <c r="A138" s="1">
        <v>45673</v>
      </c>
      <c r="B138" s="2" t="s">
        <v>4</v>
      </c>
      <c r="C138" s="2" t="s">
        <v>6</v>
      </c>
      <c r="D138">
        <v>27</v>
      </c>
    </row>
    <row r="139" spans="1:4" x14ac:dyDescent="0.25">
      <c r="A139" s="1">
        <v>45673</v>
      </c>
      <c r="B139" s="2" t="s">
        <v>4</v>
      </c>
      <c r="C139" s="2" t="s">
        <v>7</v>
      </c>
      <c r="D139">
        <v>32</v>
      </c>
    </row>
    <row r="140" spans="1:4" x14ac:dyDescent="0.25">
      <c r="A140" s="1">
        <v>45673</v>
      </c>
      <c r="B140" s="2" t="s">
        <v>8</v>
      </c>
      <c r="C140" s="2" t="s">
        <v>5</v>
      </c>
      <c r="D140">
        <v>12</v>
      </c>
    </row>
    <row r="141" spans="1:4" x14ac:dyDescent="0.25">
      <c r="A141" s="1">
        <v>45673</v>
      </c>
      <c r="B141" s="2" t="s">
        <v>8</v>
      </c>
      <c r="C141" s="2" t="s">
        <v>6</v>
      </c>
      <c r="D141">
        <v>39</v>
      </c>
    </row>
    <row r="142" spans="1:4" x14ac:dyDescent="0.25">
      <c r="A142" s="1">
        <v>45673</v>
      </c>
      <c r="B142" s="2" t="s">
        <v>8</v>
      </c>
      <c r="C142" s="2" t="s">
        <v>7</v>
      </c>
      <c r="D142">
        <v>18</v>
      </c>
    </row>
    <row r="143" spans="1:4" x14ac:dyDescent="0.25">
      <c r="A143" s="1">
        <v>45673</v>
      </c>
      <c r="B143" s="2" t="s">
        <v>9</v>
      </c>
      <c r="C143" s="2" t="s">
        <v>5</v>
      </c>
      <c r="D143">
        <v>8</v>
      </c>
    </row>
    <row r="144" spans="1:4" x14ac:dyDescent="0.25">
      <c r="A144" s="1">
        <v>45673</v>
      </c>
      <c r="B144" s="2" t="s">
        <v>9</v>
      </c>
      <c r="C144" s="2" t="s">
        <v>6</v>
      </c>
      <c r="D144">
        <v>19</v>
      </c>
    </row>
    <row r="145" spans="1:4" x14ac:dyDescent="0.25">
      <c r="A145" s="1">
        <v>45673</v>
      </c>
      <c r="B145" s="2" t="s">
        <v>9</v>
      </c>
      <c r="C145" s="2" t="s">
        <v>7</v>
      </c>
      <c r="D145">
        <v>22</v>
      </c>
    </row>
    <row r="146" spans="1:4" x14ac:dyDescent="0.25">
      <c r="A146" s="1">
        <v>45674</v>
      </c>
      <c r="B146" s="2" t="s">
        <v>4</v>
      </c>
      <c r="C146" s="2" t="s">
        <v>5</v>
      </c>
      <c r="D146">
        <v>38</v>
      </c>
    </row>
    <row r="147" spans="1:4" x14ac:dyDescent="0.25">
      <c r="A147" s="1">
        <v>45674</v>
      </c>
      <c r="B147" s="2" t="s">
        <v>4</v>
      </c>
      <c r="C147" s="2" t="s">
        <v>6</v>
      </c>
      <c r="D147">
        <v>24</v>
      </c>
    </row>
    <row r="148" spans="1:4" x14ac:dyDescent="0.25">
      <c r="A148" s="1">
        <v>45674</v>
      </c>
      <c r="B148" s="2" t="s">
        <v>4</v>
      </c>
      <c r="C148" s="2" t="s">
        <v>7</v>
      </c>
      <c r="D148">
        <v>17</v>
      </c>
    </row>
    <row r="149" spans="1:4" x14ac:dyDescent="0.25">
      <c r="A149" s="1">
        <v>45674</v>
      </c>
      <c r="B149" s="2" t="s">
        <v>8</v>
      </c>
      <c r="C149" s="2" t="s">
        <v>5</v>
      </c>
      <c r="D149">
        <v>6</v>
      </c>
    </row>
    <row r="150" spans="1:4" x14ac:dyDescent="0.25">
      <c r="A150" s="1">
        <v>45674</v>
      </c>
      <c r="B150" s="2" t="s">
        <v>8</v>
      </c>
      <c r="C150" s="2" t="s">
        <v>6</v>
      </c>
      <c r="D150">
        <v>21</v>
      </c>
    </row>
    <row r="151" spans="1:4" x14ac:dyDescent="0.25">
      <c r="A151" s="1">
        <v>45674</v>
      </c>
      <c r="B151" s="2" t="s">
        <v>8</v>
      </c>
      <c r="C151" s="2" t="s">
        <v>7</v>
      </c>
      <c r="D151">
        <v>7</v>
      </c>
    </row>
    <row r="152" spans="1:4" x14ac:dyDescent="0.25">
      <c r="A152" s="1">
        <v>45674</v>
      </c>
      <c r="B152" s="2" t="s">
        <v>9</v>
      </c>
      <c r="C152" s="2" t="s">
        <v>5</v>
      </c>
      <c r="D152">
        <v>6</v>
      </c>
    </row>
    <row r="153" spans="1:4" x14ac:dyDescent="0.25">
      <c r="A153" s="1">
        <v>45674</v>
      </c>
      <c r="B153" s="2" t="s">
        <v>9</v>
      </c>
      <c r="C153" s="2" t="s">
        <v>6</v>
      </c>
      <c r="D153">
        <v>33</v>
      </c>
    </row>
    <row r="154" spans="1:4" x14ac:dyDescent="0.25">
      <c r="A154" s="1">
        <v>45674</v>
      </c>
      <c r="B154" s="2" t="s">
        <v>9</v>
      </c>
      <c r="C154" s="2" t="s">
        <v>7</v>
      </c>
      <c r="D154">
        <v>31</v>
      </c>
    </row>
    <row r="155" spans="1:4" x14ac:dyDescent="0.25">
      <c r="A155" s="1">
        <v>45675</v>
      </c>
      <c r="B155" s="2" t="s">
        <v>4</v>
      </c>
      <c r="C155" s="2" t="s">
        <v>5</v>
      </c>
      <c r="D155">
        <v>39</v>
      </c>
    </row>
    <row r="156" spans="1:4" x14ac:dyDescent="0.25">
      <c r="A156" s="1">
        <v>45675</v>
      </c>
      <c r="B156" s="2" t="s">
        <v>4</v>
      </c>
      <c r="C156" s="2" t="s">
        <v>6</v>
      </c>
      <c r="D156">
        <v>5</v>
      </c>
    </row>
    <row r="157" spans="1:4" x14ac:dyDescent="0.25">
      <c r="A157" s="1">
        <v>45675</v>
      </c>
      <c r="B157" s="2" t="s">
        <v>4</v>
      </c>
      <c r="C157" s="2" t="s">
        <v>7</v>
      </c>
      <c r="D157">
        <v>36</v>
      </c>
    </row>
    <row r="158" spans="1:4" x14ac:dyDescent="0.25">
      <c r="A158" s="1">
        <v>45675</v>
      </c>
      <c r="B158" s="2" t="s">
        <v>8</v>
      </c>
      <c r="C158" s="2" t="s">
        <v>5</v>
      </c>
      <c r="D158">
        <v>35</v>
      </c>
    </row>
    <row r="159" spans="1:4" x14ac:dyDescent="0.25">
      <c r="A159" s="1">
        <v>45675</v>
      </c>
      <c r="B159" s="2" t="s">
        <v>8</v>
      </c>
      <c r="C159" s="2" t="s">
        <v>6</v>
      </c>
      <c r="D159">
        <v>34</v>
      </c>
    </row>
    <row r="160" spans="1:4" x14ac:dyDescent="0.25">
      <c r="A160" s="1">
        <v>45675</v>
      </c>
      <c r="B160" s="2" t="s">
        <v>8</v>
      </c>
      <c r="C160" s="2" t="s">
        <v>7</v>
      </c>
      <c r="D160">
        <v>27</v>
      </c>
    </row>
    <row r="161" spans="1:4" x14ac:dyDescent="0.25">
      <c r="A161" s="1">
        <v>45675</v>
      </c>
      <c r="B161" s="2" t="s">
        <v>9</v>
      </c>
      <c r="C161" s="2" t="s">
        <v>5</v>
      </c>
      <c r="D161">
        <v>21</v>
      </c>
    </row>
    <row r="162" spans="1:4" x14ac:dyDescent="0.25">
      <c r="A162" s="1">
        <v>45675</v>
      </c>
      <c r="B162" s="2" t="s">
        <v>9</v>
      </c>
      <c r="C162" s="2" t="s">
        <v>6</v>
      </c>
      <c r="D162">
        <v>39</v>
      </c>
    </row>
    <row r="163" spans="1:4" x14ac:dyDescent="0.25">
      <c r="A163" s="1">
        <v>45675</v>
      </c>
      <c r="B163" s="2" t="s">
        <v>9</v>
      </c>
      <c r="C163" s="2" t="s">
        <v>7</v>
      </c>
      <c r="D163">
        <v>25</v>
      </c>
    </row>
    <row r="164" spans="1:4" x14ac:dyDescent="0.25">
      <c r="A164" s="1">
        <v>45676</v>
      </c>
      <c r="B164" s="2" t="s">
        <v>4</v>
      </c>
      <c r="C164" s="2" t="s">
        <v>5</v>
      </c>
      <c r="D164">
        <v>12</v>
      </c>
    </row>
    <row r="165" spans="1:4" x14ac:dyDescent="0.25">
      <c r="A165" s="1">
        <v>45676</v>
      </c>
      <c r="B165" s="2" t="s">
        <v>4</v>
      </c>
      <c r="C165" s="2" t="s">
        <v>6</v>
      </c>
      <c r="D165">
        <v>37</v>
      </c>
    </row>
    <row r="166" spans="1:4" x14ac:dyDescent="0.25">
      <c r="A166" s="1">
        <v>45676</v>
      </c>
      <c r="B166" s="2" t="s">
        <v>4</v>
      </c>
      <c r="C166" s="2" t="s">
        <v>7</v>
      </c>
      <c r="D166">
        <v>21</v>
      </c>
    </row>
    <row r="167" spans="1:4" x14ac:dyDescent="0.25">
      <c r="A167" s="1">
        <v>45676</v>
      </c>
      <c r="B167" s="2" t="s">
        <v>8</v>
      </c>
      <c r="C167" s="2" t="s">
        <v>5</v>
      </c>
      <c r="D167">
        <v>21</v>
      </c>
    </row>
    <row r="168" spans="1:4" x14ac:dyDescent="0.25">
      <c r="A168" s="1">
        <v>45676</v>
      </c>
      <c r="B168" s="2" t="s">
        <v>8</v>
      </c>
      <c r="C168" s="2" t="s">
        <v>6</v>
      </c>
      <c r="D168">
        <v>29</v>
      </c>
    </row>
    <row r="169" spans="1:4" x14ac:dyDescent="0.25">
      <c r="A169" s="1">
        <v>45676</v>
      </c>
      <c r="B169" s="2" t="s">
        <v>8</v>
      </c>
      <c r="C169" s="2" t="s">
        <v>7</v>
      </c>
      <c r="D169">
        <v>32</v>
      </c>
    </row>
    <row r="170" spans="1:4" x14ac:dyDescent="0.25">
      <c r="A170" s="1">
        <v>45676</v>
      </c>
      <c r="B170" s="2" t="s">
        <v>9</v>
      </c>
      <c r="C170" s="2" t="s">
        <v>5</v>
      </c>
      <c r="D170">
        <v>18</v>
      </c>
    </row>
    <row r="171" spans="1:4" x14ac:dyDescent="0.25">
      <c r="A171" s="1">
        <v>45676</v>
      </c>
      <c r="B171" s="2" t="s">
        <v>9</v>
      </c>
      <c r="C171" s="2" t="s">
        <v>6</v>
      </c>
      <c r="D171">
        <v>6</v>
      </c>
    </row>
    <row r="172" spans="1:4" x14ac:dyDescent="0.25">
      <c r="A172" s="1">
        <v>45676</v>
      </c>
      <c r="B172" s="2" t="s">
        <v>9</v>
      </c>
      <c r="C172" s="2" t="s">
        <v>7</v>
      </c>
      <c r="D172">
        <v>5</v>
      </c>
    </row>
    <row r="173" spans="1:4" x14ac:dyDescent="0.25">
      <c r="A173" s="1">
        <v>45677</v>
      </c>
      <c r="B173" s="2" t="s">
        <v>4</v>
      </c>
      <c r="C173" s="2" t="s">
        <v>5</v>
      </c>
      <c r="D173">
        <v>30</v>
      </c>
    </row>
    <row r="174" spans="1:4" x14ac:dyDescent="0.25">
      <c r="A174" s="1">
        <v>45677</v>
      </c>
      <c r="B174" s="2" t="s">
        <v>4</v>
      </c>
      <c r="C174" s="2" t="s">
        <v>6</v>
      </c>
      <c r="D174">
        <v>39</v>
      </c>
    </row>
    <row r="175" spans="1:4" x14ac:dyDescent="0.25">
      <c r="A175" s="1">
        <v>45677</v>
      </c>
      <c r="B175" s="2" t="s">
        <v>4</v>
      </c>
      <c r="C175" s="2" t="s">
        <v>7</v>
      </c>
      <c r="D175">
        <v>8</v>
      </c>
    </row>
    <row r="176" spans="1:4" x14ac:dyDescent="0.25">
      <c r="A176" s="1">
        <v>45677</v>
      </c>
      <c r="B176" s="2" t="s">
        <v>8</v>
      </c>
      <c r="C176" s="2" t="s">
        <v>5</v>
      </c>
      <c r="D176">
        <v>9</v>
      </c>
    </row>
    <row r="177" spans="1:4" x14ac:dyDescent="0.25">
      <c r="A177" s="1">
        <v>45677</v>
      </c>
      <c r="B177" s="2" t="s">
        <v>8</v>
      </c>
      <c r="C177" s="2" t="s">
        <v>6</v>
      </c>
      <c r="D177">
        <v>10</v>
      </c>
    </row>
    <row r="178" spans="1:4" x14ac:dyDescent="0.25">
      <c r="A178" s="1">
        <v>45677</v>
      </c>
      <c r="B178" s="2" t="s">
        <v>8</v>
      </c>
      <c r="C178" s="2" t="s">
        <v>7</v>
      </c>
      <c r="D178">
        <v>20</v>
      </c>
    </row>
    <row r="179" spans="1:4" x14ac:dyDescent="0.25">
      <c r="A179" s="1">
        <v>45677</v>
      </c>
      <c r="B179" s="2" t="s">
        <v>9</v>
      </c>
      <c r="C179" s="2" t="s">
        <v>5</v>
      </c>
      <c r="D179">
        <v>32</v>
      </c>
    </row>
    <row r="180" spans="1:4" x14ac:dyDescent="0.25">
      <c r="A180" s="1">
        <v>45677</v>
      </c>
      <c r="B180" s="2" t="s">
        <v>9</v>
      </c>
      <c r="C180" s="2" t="s">
        <v>6</v>
      </c>
      <c r="D180">
        <v>26</v>
      </c>
    </row>
    <row r="181" spans="1:4" x14ac:dyDescent="0.25">
      <c r="A181" s="1">
        <v>45677</v>
      </c>
      <c r="B181" s="2" t="s">
        <v>9</v>
      </c>
      <c r="C181" s="2" t="s">
        <v>7</v>
      </c>
      <c r="D181">
        <v>35</v>
      </c>
    </row>
    <row r="182" spans="1:4" x14ac:dyDescent="0.25">
      <c r="A182" s="1">
        <v>45678</v>
      </c>
      <c r="B182" s="2" t="s">
        <v>4</v>
      </c>
      <c r="C182" s="2" t="s">
        <v>5</v>
      </c>
      <c r="D182">
        <v>12</v>
      </c>
    </row>
    <row r="183" spans="1:4" x14ac:dyDescent="0.25">
      <c r="A183" s="1">
        <v>45678</v>
      </c>
      <c r="B183" s="2" t="s">
        <v>4</v>
      </c>
      <c r="C183" s="2" t="s">
        <v>6</v>
      </c>
      <c r="D183">
        <v>14</v>
      </c>
    </row>
    <row r="184" spans="1:4" x14ac:dyDescent="0.25">
      <c r="A184" s="1">
        <v>45678</v>
      </c>
      <c r="B184" s="2" t="s">
        <v>4</v>
      </c>
      <c r="C184" s="2" t="s">
        <v>7</v>
      </c>
      <c r="D184">
        <v>25</v>
      </c>
    </row>
    <row r="185" spans="1:4" x14ac:dyDescent="0.25">
      <c r="A185" s="1">
        <v>45678</v>
      </c>
      <c r="B185" s="2" t="s">
        <v>8</v>
      </c>
      <c r="C185" s="2" t="s">
        <v>5</v>
      </c>
      <c r="D185">
        <v>22</v>
      </c>
    </row>
    <row r="186" spans="1:4" x14ac:dyDescent="0.25">
      <c r="A186" s="1">
        <v>45678</v>
      </c>
      <c r="B186" s="2" t="s">
        <v>8</v>
      </c>
      <c r="C186" s="2" t="s">
        <v>6</v>
      </c>
      <c r="D186">
        <v>22</v>
      </c>
    </row>
    <row r="187" spans="1:4" x14ac:dyDescent="0.25">
      <c r="A187" s="1">
        <v>45678</v>
      </c>
      <c r="B187" s="2" t="s">
        <v>8</v>
      </c>
      <c r="C187" s="2" t="s">
        <v>7</v>
      </c>
      <c r="D187">
        <v>22</v>
      </c>
    </row>
    <row r="188" spans="1:4" x14ac:dyDescent="0.25">
      <c r="A188" s="1">
        <v>45678</v>
      </c>
      <c r="B188" s="2" t="s">
        <v>9</v>
      </c>
      <c r="C188" s="2" t="s">
        <v>5</v>
      </c>
      <c r="D188">
        <v>23</v>
      </c>
    </row>
    <row r="189" spans="1:4" x14ac:dyDescent="0.25">
      <c r="A189" s="1">
        <v>45678</v>
      </c>
      <c r="B189" s="2" t="s">
        <v>9</v>
      </c>
      <c r="C189" s="2" t="s">
        <v>6</v>
      </c>
      <c r="D189">
        <v>32</v>
      </c>
    </row>
    <row r="190" spans="1:4" x14ac:dyDescent="0.25">
      <c r="A190" s="1">
        <v>45678</v>
      </c>
      <c r="B190" s="2" t="s">
        <v>9</v>
      </c>
      <c r="C190" s="2" t="s">
        <v>7</v>
      </c>
      <c r="D190">
        <v>5</v>
      </c>
    </row>
    <row r="191" spans="1:4" x14ac:dyDescent="0.25">
      <c r="A191" s="1">
        <v>45679</v>
      </c>
      <c r="B191" s="2" t="s">
        <v>4</v>
      </c>
      <c r="C191" s="2" t="s">
        <v>5</v>
      </c>
      <c r="D191">
        <v>8</v>
      </c>
    </row>
    <row r="192" spans="1:4" x14ac:dyDescent="0.25">
      <c r="A192" s="1">
        <v>45679</v>
      </c>
      <c r="B192" s="2" t="s">
        <v>4</v>
      </c>
      <c r="C192" s="2" t="s">
        <v>6</v>
      </c>
      <c r="D192">
        <v>32</v>
      </c>
    </row>
    <row r="193" spans="1:4" x14ac:dyDescent="0.25">
      <c r="A193" s="1">
        <v>45679</v>
      </c>
      <c r="B193" s="2" t="s">
        <v>4</v>
      </c>
      <c r="C193" s="2" t="s">
        <v>7</v>
      </c>
      <c r="D193">
        <v>9</v>
      </c>
    </row>
    <row r="194" spans="1:4" x14ac:dyDescent="0.25">
      <c r="A194" s="1">
        <v>45679</v>
      </c>
      <c r="B194" s="2" t="s">
        <v>8</v>
      </c>
      <c r="C194" s="2" t="s">
        <v>5</v>
      </c>
      <c r="D194">
        <v>13</v>
      </c>
    </row>
    <row r="195" spans="1:4" x14ac:dyDescent="0.25">
      <c r="A195" s="1">
        <v>45679</v>
      </c>
      <c r="B195" s="2" t="s">
        <v>8</v>
      </c>
      <c r="C195" s="2" t="s">
        <v>6</v>
      </c>
      <c r="D195">
        <v>5</v>
      </c>
    </row>
    <row r="196" spans="1:4" x14ac:dyDescent="0.25">
      <c r="A196" s="1">
        <v>45679</v>
      </c>
      <c r="B196" s="2" t="s">
        <v>8</v>
      </c>
      <c r="C196" s="2" t="s">
        <v>7</v>
      </c>
      <c r="D196">
        <v>13</v>
      </c>
    </row>
    <row r="197" spans="1:4" x14ac:dyDescent="0.25">
      <c r="A197" s="1">
        <v>45679</v>
      </c>
      <c r="B197" s="2" t="s">
        <v>9</v>
      </c>
      <c r="C197" s="2" t="s">
        <v>5</v>
      </c>
      <c r="D197">
        <v>38</v>
      </c>
    </row>
    <row r="198" spans="1:4" x14ac:dyDescent="0.25">
      <c r="A198" s="1">
        <v>45679</v>
      </c>
      <c r="B198" s="2" t="s">
        <v>9</v>
      </c>
      <c r="C198" s="2" t="s">
        <v>6</v>
      </c>
      <c r="D198">
        <v>24</v>
      </c>
    </row>
    <row r="199" spans="1:4" x14ac:dyDescent="0.25">
      <c r="A199" s="1">
        <v>45679</v>
      </c>
      <c r="B199" s="2" t="s">
        <v>9</v>
      </c>
      <c r="C199" s="2" t="s">
        <v>7</v>
      </c>
      <c r="D199">
        <v>33</v>
      </c>
    </row>
    <row r="200" spans="1:4" x14ac:dyDescent="0.25">
      <c r="A200" s="1">
        <v>45680</v>
      </c>
      <c r="B200" s="2" t="s">
        <v>4</v>
      </c>
      <c r="C200" s="2" t="s">
        <v>5</v>
      </c>
      <c r="D200">
        <v>7</v>
      </c>
    </row>
    <row r="201" spans="1:4" x14ac:dyDescent="0.25">
      <c r="A201" s="1">
        <v>45680</v>
      </c>
      <c r="B201" s="2" t="s">
        <v>4</v>
      </c>
      <c r="C201" s="2" t="s">
        <v>6</v>
      </c>
      <c r="D201">
        <v>11</v>
      </c>
    </row>
    <row r="202" spans="1:4" x14ac:dyDescent="0.25">
      <c r="A202" s="1">
        <v>45680</v>
      </c>
      <c r="B202" s="2" t="s">
        <v>4</v>
      </c>
      <c r="C202" s="2" t="s">
        <v>7</v>
      </c>
      <c r="D202">
        <v>17</v>
      </c>
    </row>
    <row r="203" spans="1:4" x14ac:dyDescent="0.25">
      <c r="A203" s="1">
        <v>45680</v>
      </c>
      <c r="B203" s="2" t="s">
        <v>8</v>
      </c>
      <c r="C203" s="2" t="s">
        <v>5</v>
      </c>
      <c r="D203">
        <v>33</v>
      </c>
    </row>
    <row r="204" spans="1:4" x14ac:dyDescent="0.25">
      <c r="A204" s="1">
        <v>45680</v>
      </c>
      <c r="B204" s="2" t="s">
        <v>8</v>
      </c>
      <c r="C204" s="2" t="s">
        <v>6</v>
      </c>
      <c r="D204">
        <v>14</v>
      </c>
    </row>
    <row r="205" spans="1:4" x14ac:dyDescent="0.25">
      <c r="A205" s="1">
        <v>45680</v>
      </c>
      <c r="B205" s="2" t="s">
        <v>8</v>
      </c>
      <c r="C205" s="2" t="s">
        <v>7</v>
      </c>
      <c r="D205">
        <v>10</v>
      </c>
    </row>
    <row r="206" spans="1:4" x14ac:dyDescent="0.25">
      <c r="A206" s="1">
        <v>45680</v>
      </c>
      <c r="B206" s="2" t="s">
        <v>9</v>
      </c>
      <c r="C206" s="2" t="s">
        <v>5</v>
      </c>
      <c r="D206">
        <v>24</v>
      </c>
    </row>
    <row r="207" spans="1:4" x14ac:dyDescent="0.25">
      <c r="A207" s="1">
        <v>45680</v>
      </c>
      <c r="B207" s="2" t="s">
        <v>9</v>
      </c>
      <c r="C207" s="2" t="s">
        <v>6</v>
      </c>
      <c r="D207">
        <v>27</v>
      </c>
    </row>
    <row r="208" spans="1:4" x14ac:dyDescent="0.25">
      <c r="A208" s="1">
        <v>45680</v>
      </c>
      <c r="B208" s="2" t="s">
        <v>9</v>
      </c>
      <c r="C208" s="2" t="s">
        <v>7</v>
      </c>
      <c r="D208">
        <v>20</v>
      </c>
    </row>
    <row r="209" spans="1:4" x14ac:dyDescent="0.25">
      <c r="A209" s="1">
        <v>45681</v>
      </c>
      <c r="B209" s="2" t="s">
        <v>4</v>
      </c>
      <c r="C209" s="2" t="s">
        <v>5</v>
      </c>
      <c r="D209">
        <v>20</v>
      </c>
    </row>
    <row r="210" spans="1:4" x14ac:dyDescent="0.25">
      <c r="A210" s="1">
        <v>45681</v>
      </c>
      <c r="B210" s="2" t="s">
        <v>4</v>
      </c>
      <c r="C210" s="2" t="s">
        <v>6</v>
      </c>
      <c r="D210">
        <v>30</v>
      </c>
    </row>
    <row r="211" spans="1:4" x14ac:dyDescent="0.25">
      <c r="A211" s="1">
        <v>45681</v>
      </c>
      <c r="B211" s="2" t="s">
        <v>4</v>
      </c>
      <c r="C211" s="2" t="s">
        <v>7</v>
      </c>
      <c r="D211">
        <v>27</v>
      </c>
    </row>
    <row r="212" spans="1:4" x14ac:dyDescent="0.25">
      <c r="A212" s="1">
        <v>45681</v>
      </c>
      <c r="B212" s="2" t="s">
        <v>8</v>
      </c>
      <c r="C212" s="2" t="s">
        <v>5</v>
      </c>
      <c r="D212">
        <v>27</v>
      </c>
    </row>
    <row r="213" spans="1:4" x14ac:dyDescent="0.25">
      <c r="A213" s="1">
        <v>45681</v>
      </c>
      <c r="B213" s="2" t="s">
        <v>8</v>
      </c>
      <c r="C213" s="2" t="s">
        <v>6</v>
      </c>
      <c r="D213">
        <v>40</v>
      </c>
    </row>
    <row r="214" spans="1:4" x14ac:dyDescent="0.25">
      <c r="A214" s="1">
        <v>45681</v>
      </c>
      <c r="B214" s="2" t="s">
        <v>8</v>
      </c>
      <c r="C214" s="2" t="s">
        <v>7</v>
      </c>
      <c r="D214">
        <v>25</v>
      </c>
    </row>
    <row r="215" spans="1:4" x14ac:dyDescent="0.25">
      <c r="A215" s="1">
        <v>45681</v>
      </c>
      <c r="B215" s="2" t="s">
        <v>9</v>
      </c>
      <c r="C215" s="2" t="s">
        <v>5</v>
      </c>
      <c r="D215">
        <v>37</v>
      </c>
    </row>
    <row r="216" spans="1:4" x14ac:dyDescent="0.25">
      <c r="A216" s="1">
        <v>45681</v>
      </c>
      <c r="B216" s="2" t="s">
        <v>9</v>
      </c>
      <c r="C216" s="2" t="s">
        <v>6</v>
      </c>
      <c r="D216">
        <v>28</v>
      </c>
    </row>
    <row r="217" spans="1:4" x14ac:dyDescent="0.25">
      <c r="A217" s="1">
        <v>45681</v>
      </c>
      <c r="B217" s="2" t="s">
        <v>9</v>
      </c>
      <c r="C217" s="2" t="s">
        <v>7</v>
      </c>
      <c r="D217">
        <v>9</v>
      </c>
    </row>
    <row r="218" spans="1:4" x14ac:dyDescent="0.25">
      <c r="A218" s="1">
        <v>45682</v>
      </c>
      <c r="B218" s="2" t="s">
        <v>4</v>
      </c>
      <c r="C218" s="2" t="s">
        <v>5</v>
      </c>
      <c r="D218">
        <v>23</v>
      </c>
    </row>
    <row r="219" spans="1:4" x14ac:dyDescent="0.25">
      <c r="A219" s="1">
        <v>45682</v>
      </c>
      <c r="B219" s="2" t="s">
        <v>4</v>
      </c>
      <c r="C219" s="2" t="s">
        <v>6</v>
      </c>
      <c r="D219">
        <v>6</v>
      </c>
    </row>
    <row r="220" spans="1:4" x14ac:dyDescent="0.25">
      <c r="A220" s="1">
        <v>45682</v>
      </c>
      <c r="B220" s="2" t="s">
        <v>4</v>
      </c>
      <c r="C220" s="2" t="s">
        <v>7</v>
      </c>
      <c r="D220">
        <v>25</v>
      </c>
    </row>
    <row r="221" spans="1:4" x14ac:dyDescent="0.25">
      <c r="A221" s="1">
        <v>45682</v>
      </c>
      <c r="B221" s="2" t="s">
        <v>8</v>
      </c>
      <c r="C221" s="2" t="s">
        <v>5</v>
      </c>
      <c r="D221">
        <v>39</v>
      </c>
    </row>
    <row r="222" spans="1:4" x14ac:dyDescent="0.25">
      <c r="A222" s="1">
        <v>45682</v>
      </c>
      <c r="B222" s="2" t="s">
        <v>8</v>
      </c>
      <c r="C222" s="2" t="s">
        <v>6</v>
      </c>
      <c r="D222">
        <v>32</v>
      </c>
    </row>
    <row r="223" spans="1:4" x14ac:dyDescent="0.25">
      <c r="A223" s="1">
        <v>45682</v>
      </c>
      <c r="B223" s="2" t="s">
        <v>8</v>
      </c>
      <c r="C223" s="2" t="s">
        <v>7</v>
      </c>
      <c r="D223">
        <v>23</v>
      </c>
    </row>
    <row r="224" spans="1:4" x14ac:dyDescent="0.25">
      <c r="A224" s="1">
        <v>45682</v>
      </c>
      <c r="B224" s="2" t="s">
        <v>9</v>
      </c>
      <c r="C224" s="2" t="s">
        <v>5</v>
      </c>
      <c r="D224">
        <v>30</v>
      </c>
    </row>
    <row r="225" spans="1:4" x14ac:dyDescent="0.25">
      <c r="A225" s="1">
        <v>45682</v>
      </c>
      <c r="B225" s="2" t="s">
        <v>9</v>
      </c>
      <c r="C225" s="2" t="s">
        <v>6</v>
      </c>
      <c r="D225">
        <v>30</v>
      </c>
    </row>
    <row r="226" spans="1:4" x14ac:dyDescent="0.25">
      <c r="A226" s="1">
        <v>45682</v>
      </c>
      <c r="B226" s="2" t="s">
        <v>9</v>
      </c>
      <c r="C226" s="2" t="s">
        <v>7</v>
      </c>
      <c r="D226">
        <v>40</v>
      </c>
    </row>
    <row r="227" spans="1:4" x14ac:dyDescent="0.25">
      <c r="A227" s="1">
        <v>45683</v>
      </c>
      <c r="B227" s="2" t="s">
        <v>4</v>
      </c>
      <c r="C227" s="2" t="s">
        <v>5</v>
      </c>
      <c r="D227">
        <v>13</v>
      </c>
    </row>
    <row r="228" spans="1:4" x14ac:dyDescent="0.25">
      <c r="A228" s="1">
        <v>45683</v>
      </c>
      <c r="B228" s="2" t="s">
        <v>4</v>
      </c>
      <c r="C228" s="2" t="s">
        <v>6</v>
      </c>
      <c r="D228">
        <v>24</v>
      </c>
    </row>
    <row r="229" spans="1:4" x14ac:dyDescent="0.25">
      <c r="A229" s="1">
        <v>45683</v>
      </c>
      <c r="B229" s="2" t="s">
        <v>4</v>
      </c>
      <c r="C229" s="2" t="s">
        <v>7</v>
      </c>
      <c r="D229">
        <v>13</v>
      </c>
    </row>
    <row r="230" spans="1:4" x14ac:dyDescent="0.25">
      <c r="A230" s="1">
        <v>45683</v>
      </c>
      <c r="B230" s="2" t="s">
        <v>8</v>
      </c>
      <c r="C230" s="2" t="s">
        <v>5</v>
      </c>
      <c r="D230">
        <v>17</v>
      </c>
    </row>
    <row r="231" spans="1:4" x14ac:dyDescent="0.25">
      <c r="A231" s="1">
        <v>45683</v>
      </c>
      <c r="B231" s="2" t="s">
        <v>8</v>
      </c>
      <c r="C231" s="2" t="s">
        <v>6</v>
      </c>
      <c r="D231">
        <v>8</v>
      </c>
    </row>
    <row r="232" spans="1:4" x14ac:dyDescent="0.25">
      <c r="A232" s="1">
        <v>45683</v>
      </c>
      <c r="B232" s="2" t="s">
        <v>8</v>
      </c>
      <c r="C232" s="2" t="s">
        <v>7</v>
      </c>
      <c r="D232">
        <v>30</v>
      </c>
    </row>
    <row r="233" spans="1:4" x14ac:dyDescent="0.25">
      <c r="A233" s="1">
        <v>45683</v>
      </c>
      <c r="B233" s="2" t="s">
        <v>9</v>
      </c>
      <c r="C233" s="2" t="s">
        <v>5</v>
      </c>
      <c r="D233">
        <v>22</v>
      </c>
    </row>
    <row r="234" spans="1:4" x14ac:dyDescent="0.25">
      <c r="A234" s="1">
        <v>45683</v>
      </c>
      <c r="B234" s="2" t="s">
        <v>9</v>
      </c>
      <c r="C234" s="2" t="s">
        <v>6</v>
      </c>
      <c r="D234">
        <v>40</v>
      </c>
    </row>
    <row r="235" spans="1:4" x14ac:dyDescent="0.25">
      <c r="A235" s="1">
        <v>45683</v>
      </c>
      <c r="B235" s="2" t="s">
        <v>9</v>
      </c>
      <c r="C235" s="2" t="s">
        <v>7</v>
      </c>
      <c r="D235">
        <v>24</v>
      </c>
    </row>
    <row r="236" spans="1:4" x14ac:dyDescent="0.25">
      <c r="A236" s="1">
        <v>45684</v>
      </c>
      <c r="B236" s="2" t="s">
        <v>4</v>
      </c>
      <c r="C236" s="2" t="s">
        <v>5</v>
      </c>
      <c r="D236">
        <v>26</v>
      </c>
    </row>
    <row r="237" spans="1:4" x14ac:dyDescent="0.25">
      <c r="A237" s="1">
        <v>45684</v>
      </c>
      <c r="B237" s="2" t="s">
        <v>4</v>
      </c>
      <c r="C237" s="2" t="s">
        <v>6</v>
      </c>
      <c r="D237">
        <v>6</v>
      </c>
    </row>
    <row r="238" spans="1:4" x14ac:dyDescent="0.25">
      <c r="A238" s="1">
        <v>45684</v>
      </c>
      <c r="B238" s="2" t="s">
        <v>4</v>
      </c>
      <c r="C238" s="2" t="s">
        <v>7</v>
      </c>
      <c r="D238">
        <v>6</v>
      </c>
    </row>
    <row r="239" spans="1:4" x14ac:dyDescent="0.25">
      <c r="A239" s="1">
        <v>45684</v>
      </c>
      <c r="B239" s="2" t="s">
        <v>8</v>
      </c>
      <c r="C239" s="2" t="s">
        <v>5</v>
      </c>
      <c r="D239">
        <v>40</v>
      </c>
    </row>
    <row r="240" spans="1:4" x14ac:dyDescent="0.25">
      <c r="A240" s="1">
        <v>45684</v>
      </c>
      <c r="B240" s="2" t="s">
        <v>8</v>
      </c>
      <c r="C240" s="2" t="s">
        <v>6</v>
      </c>
      <c r="D240">
        <v>32</v>
      </c>
    </row>
    <row r="241" spans="1:4" x14ac:dyDescent="0.25">
      <c r="A241" s="1">
        <v>45684</v>
      </c>
      <c r="B241" s="2" t="s">
        <v>8</v>
      </c>
      <c r="C241" s="2" t="s">
        <v>7</v>
      </c>
      <c r="D241">
        <v>8</v>
      </c>
    </row>
    <row r="242" spans="1:4" x14ac:dyDescent="0.25">
      <c r="A242" s="1">
        <v>45684</v>
      </c>
      <c r="B242" s="2" t="s">
        <v>9</v>
      </c>
      <c r="C242" s="2" t="s">
        <v>5</v>
      </c>
      <c r="D242">
        <v>16</v>
      </c>
    </row>
    <row r="243" spans="1:4" x14ac:dyDescent="0.25">
      <c r="A243" s="1">
        <v>45684</v>
      </c>
      <c r="B243" s="2" t="s">
        <v>9</v>
      </c>
      <c r="C243" s="2" t="s">
        <v>6</v>
      </c>
      <c r="D243">
        <v>21</v>
      </c>
    </row>
    <row r="244" spans="1:4" x14ac:dyDescent="0.25">
      <c r="A244" s="1">
        <v>45684</v>
      </c>
      <c r="B244" s="2" t="s">
        <v>9</v>
      </c>
      <c r="C244" s="2" t="s">
        <v>7</v>
      </c>
      <c r="D244">
        <v>24</v>
      </c>
    </row>
    <row r="245" spans="1:4" x14ac:dyDescent="0.25">
      <c r="A245" s="1">
        <v>45685</v>
      </c>
      <c r="B245" s="2" t="s">
        <v>4</v>
      </c>
      <c r="C245" s="2" t="s">
        <v>5</v>
      </c>
      <c r="D245">
        <v>22</v>
      </c>
    </row>
    <row r="246" spans="1:4" x14ac:dyDescent="0.25">
      <c r="A246" s="1">
        <v>45685</v>
      </c>
      <c r="B246" s="2" t="s">
        <v>4</v>
      </c>
      <c r="C246" s="2" t="s">
        <v>6</v>
      </c>
      <c r="D246">
        <v>13</v>
      </c>
    </row>
    <row r="247" spans="1:4" x14ac:dyDescent="0.25">
      <c r="A247" s="1">
        <v>45685</v>
      </c>
      <c r="B247" s="2" t="s">
        <v>4</v>
      </c>
      <c r="C247" s="2" t="s">
        <v>7</v>
      </c>
      <c r="D247">
        <v>18</v>
      </c>
    </row>
    <row r="248" spans="1:4" x14ac:dyDescent="0.25">
      <c r="A248" s="1">
        <v>45685</v>
      </c>
      <c r="B248" s="2" t="s">
        <v>8</v>
      </c>
      <c r="C248" s="2" t="s">
        <v>5</v>
      </c>
      <c r="D248">
        <v>15</v>
      </c>
    </row>
    <row r="249" spans="1:4" x14ac:dyDescent="0.25">
      <c r="A249" s="1">
        <v>45685</v>
      </c>
      <c r="B249" s="2" t="s">
        <v>8</v>
      </c>
      <c r="C249" s="2" t="s">
        <v>6</v>
      </c>
      <c r="D249">
        <v>22</v>
      </c>
    </row>
    <row r="250" spans="1:4" x14ac:dyDescent="0.25">
      <c r="A250" s="1">
        <v>45685</v>
      </c>
      <c r="B250" s="2" t="s">
        <v>8</v>
      </c>
      <c r="C250" s="2" t="s">
        <v>7</v>
      </c>
      <c r="D250">
        <v>18</v>
      </c>
    </row>
    <row r="251" spans="1:4" x14ac:dyDescent="0.25">
      <c r="A251" s="1">
        <v>45685</v>
      </c>
      <c r="B251" s="2" t="s">
        <v>9</v>
      </c>
      <c r="C251" s="2" t="s">
        <v>5</v>
      </c>
      <c r="D251">
        <v>16</v>
      </c>
    </row>
    <row r="252" spans="1:4" x14ac:dyDescent="0.25">
      <c r="A252" s="1">
        <v>45685</v>
      </c>
      <c r="B252" s="2" t="s">
        <v>9</v>
      </c>
      <c r="C252" s="2" t="s">
        <v>6</v>
      </c>
      <c r="D252">
        <v>30</v>
      </c>
    </row>
    <row r="253" spans="1:4" x14ac:dyDescent="0.25">
      <c r="A253" s="1">
        <v>45685</v>
      </c>
      <c r="B253" s="2" t="s">
        <v>9</v>
      </c>
      <c r="C253" s="2" t="s">
        <v>7</v>
      </c>
      <c r="D253">
        <v>6</v>
      </c>
    </row>
    <row r="254" spans="1:4" x14ac:dyDescent="0.25">
      <c r="A254" s="1">
        <v>45686</v>
      </c>
      <c r="B254" s="2" t="s">
        <v>4</v>
      </c>
      <c r="C254" s="2" t="s">
        <v>5</v>
      </c>
      <c r="D254">
        <v>34</v>
      </c>
    </row>
    <row r="255" spans="1:4" x14ac:dyDescent="0.25">
      <c r="A255" s="1">
        <v>45686</v>
      </c>
      <c r="B255" s="2" t="s">
        <v>4</v>
      </c>
      <c r="C255" s="2" t="s">
        <v>6</v>
      </c>
      <c r="D255">
        <v>32</v>
      </c>
    </row>
    <row r="256" spans="1:4" x14ac:dyDescent="0.25">
      <c r="A256" s="1">
        <v>45686</v>
      </c>
      <c r="B256" s="2" t="s">
        <v>4</v>
      </c>
      <c r="C256" s="2" t="s">
        <v>7</v>
      </c>
      <c r="D256">
        <v>37</v>
      </c>
    </row>
    <row r="257" spans="1:4" x14ac:dyDescent="0.25">
      <c r="A257" s="1">
        <v>45686</v>
      </c>
      <c r="B257" s="2" t="s">
        <v>8</v>
      </c>
      <c r="C257" s="2" t="s">
        <v>5</v>
      </c>
      <c r="D257">
        <v>12</v>
      </c>
    </row>
    <row r="258" spans="1:4" x14ac:dyDescent="0.25">
      <c r="A258" s="1">
        <v>45686</v>
      </c>
      <c r="B258" s="2" t="s">
        <v>8</v>
      </c>
      <c r="C258" s="2" t="s">
        <v>6</v>
      </c>
      <c r="D258">
        <v>23</v>
      </c>
    </row>
    <row r="259" spans="1:4" x14ac:dyDescent="0.25">
      <c r="A259" s="1">
        <v>45686</v>
      </c>
      <c r="B259" s="2" t="s">
        <v>8</v>
      </c>
      <c r="C259" s="2" t="s">
        <v>7</v>
      </c>
      <c r="D259">
        <v>36</v>
      </c>
    </row>
    <row r="260" spans="1:4" x14ac:dyDescent="0.25">
      <c r="A260" s="1">
        <v>45686</v>
      </c>
      <c r="B260" s="2" t="s">
        <v>9</v>
      </c>
      <c r="C260" s="2" t="s">
        <v>5</v>
      </c>
      <c r="D260">
        <v>37</v>
      </c>
    </row>
    <row r="261" spans="1:4" x14ac:dyDescent="0.25">
      <c r="A261" s="1">
        <v>45686</v>
      </c>
      <c r="B261" s="2" t="s">
        <v>9</v>
      </c>
      <c r="C261" s="2" t="s">
        <v>6</v>
      </c>
      <c r="D261">
        <v>9</v>
      </c>
    </row>
    <row r="262" spans="1:4" x14ac:dyDescent="0.25">
      <c r="A262" s="1">
        <v>45686</v>
      </c>
      <c r="B262" s="2" t="s">
        <v>9</v>
      </c>
      <c r="C262" s="2" t="s">
        <v>7</v>
      </c>
      <c r="D262">
        <v>34</v>
      </c>
    </row>
    <row r="263" spans="1:4" x14ac:dyDescent="0.25">
      <c r="A263" s="1">
        <v>45687</v>
      </c>
      <c r="B263" s="2" t="s">
        <v>4</v>
      </c>
      <c r="C263" s="2" t="s">
        <v>5</v>
      </c>
      <c r="D263">
        <v>36</v>
      </c>
    </row>
    <row r="264" spans="1:4" x14ac:dyDescent="0.25">
      <c r="A264" s="1">
        <v>45687</v>
      </c>
      <c r="B264" s="2" t="s">
        <v>4</v>
      </c>
      <c r="C264" s="2" t="s">
        <v>6</v>
      </c>
      <c r="D264">
        <v>16</v>
      </c>
    </row>
    <row r="265" spans="1:4" x14ac:dyDescent="0.25">
      <c r="A265" s="1">
        <v>45687</v>
      </c>
      <c r="B265" s="2" t="s">
        <v>4</v>
      </c>
      <c r="C265" s="2" t="s">
        <v>7</v>
      </c>
      <c r="D265">
        <v>36</v>
      </c>
    </row>
    <row r="266" spans="1:4" x14ac:dyDescent="0.25">
      <c r="A266" s="1">
        <v>45687</v>
      </c>
      <c r="B266" s="2" t="s">
        <v>8</v>
      </c>
      <c r="C266" s="2" t="s">
        <v>5</v>
      </c>
      <c r="D266">
        <v>22</v>
      </c>
    </row>
    <row r="267" spans="1:4" x14ac:dyDescent="0.25">
      <c r="A267" s="1">
        <v>45687</v>
      </c>
      <c r="B267" s="2" t="s">
        <v>8</v>
      </c>
      <c r="C267" s="2" t="s">
        <v>6</v>
      </c>
      <c r="D267">
        <v>33</v>
      </c>
    </row>
    <row r="268" spans="1:4" x14ac:dyDescent="0.25">
      <c r="A268" s="1">
        <v>45687</v>
      </c>
      <c r="B268" s="2" t="s">
        <v>8</v>
      </c>
      <c r="C268" s="2" t="s">
        <v>7</v>
      </c>
      <c r="D268">
        <v>18</v>
      </c>
    </row>
    <row r="269" spans="1:4" x14ac:dyDescent="0.25">
      <c r="A269" s="1">
        <v>45687</v>
      </c>
      <c r="B269" s="2" t="s">
        <v>9</v>
      </c>
      <c r="C269" s="2" t="s">
        <v>5</v>
      </c>
      <c r="D269">
        <v>24</v>
      </c>
    </row>
    <row r="270" spans="1:4" x14ac:dyDescent="0.25">
      <c r="A270" s="1">
        <v>45687</v>
      </c>
      <c r="B270" s="2" t="s">
        <v>9</v>
      </c>
      <c r="C270" s="2" t="s">
        <v>6</v>
      </c>
      <c r="D270">
        <v>38</v>
      </c>
    </row>
    <row r="271" spans="1:4" x14ac:dyDescent="0.25">
      <c r="A271" s="1">
        <v>45687</v>
      </c>
      <c r="B271" s="2" t="s">
        <v>9</v>
      </c>
      <c r="C271" s="2" t="s">
        <v>7</v>
      </c>
      <c r="D271">
        <v>32</v>
      </c>
    </row>
    <row r="272" spans="1:4" x14ac:dyDescent="0.25">
      <c r="A272" s="1">
        <v>45688</v>
      </c>
      <c r="B272" s="2" t="s">
        <v>4</v>
      </c>
      <c r="C272" s="2" t="s">
        <v>5</v>
      </c>
      <c r="D272">
        <v>13</v>
      </c>
    </row>
    <row r="273" spans="1:4" x14ac:dyDescent="0.25">
      <c r="A273" s="1">
        <v>45688</v>
      </c>
      <c r="B273" s="2" t="s">
        <v>4</v>
      </c>
      <c r="C273" s="2" t="s">
        <v>6</v>
      </c>
      <c r="D273">
        <v>13</v>
      </c>
    </row>
    <row r="274" spans="1:4" x14ac:dyDescent="0.25">
      <c r="A274" s="1">
        <v>45688</v>
      </c>
      <c r="B274" s="2" t="s">
        <v>4</v>
      </c>
      <c r="C274" s="2" t="s">
        <v>7</v>
      </c>
      <c r="D274">
        <v>32</v>
      </c>
    </row>
    <row r="275" spans="1:4" x14ac:dyDescent="0.25">
      <c r="A275" s="1">
        <v>45688</v>
      </c>
      <c r="B275" s="2" t="s">
        <v>8</v>
      </c>
      <c r="C275" s="2" t="s">
        <v>5</v>
      </c>
      <c r="D275">
        <v>28</v>
      </c>
    </row>
    <row r="276" spans="1:4" x14ac:dyDescent="0.25">
      <c r="A276" s="1">
        <v>45688</v>
      </c>
      <c r="B276" s="2" t="s">
        <v>8</v>
      </c>
      <c r="C276" s="2" t="s">
        <v>6</v>
      </c>
      <c r="D276">
        <v>29</v>
      </c>
    </row>
    <row r="277" spans="1:4" x14ac:dyDescent="0.25">
      <c r="A277" s="1">
        <v>45688</v>
      </c>
      <c r="B277" s="2" t="s">
        <v>8</v>
      </c>
      <c r="C277" s="2" t="s">
        <v>7</v>
      </c>
      <c r="D277">
        <v>32</v>
      </c>
    </row>
    <row r="278" spans="1:4" x14ac:dyDescent="0.25">
      <c r="A278" s="1">
        <v>45688</v>
      </c>
      <c r="B278" s="2" t="s">
        <v>9</v>
      </c>
      <c r="C278" s="2" t="s">
        <v>5</v>
      </c>
      <c r="D278">
        <v>26</v>
      </c>
    </row>
    <row r="279" spans="1:4" x14ac:dyDescent="0.25">
      <c r="A279" s="1">
        <v>45688</v>
      </c>
      <c r="B279" s="2" t="s">
        <v>9</v>
      </c>
      <c r="C279" s="2" t="s">
        <v>6</v>
      </c>
      <c r="D279">
        <v>31</v>
      </c>
    </row>
    <row r="280" spans="1:4" x14ac:dyDescent="0.25">
      <c r="A280" s="1">
        <v>45688</v>
      </c>
      <c r="B280" s="2" t="s">
        <v>9</v>
      </c>
      <c r="C280" s="2" t="s">
        <v>7</v>
      </c>
      <c r="D280">
        <v>19</v>
      </c>
    </row>
    <row r="281" spans="1:4" x14ac:dyDescent="0.25">
      <c r="A281" s="1">
        <v>45689</v>
      </c>
      <c r="B281" s="2" t="s">
        <v>4</v>
      </c>
      <c r="C281" s="2" t="s">
        <v>5</v>
      </c>
      <c r="D281">
        <v>9</v>
      </c>
    </row>
    <row r="282" spans="1:4" x14ac:dyDescent="0.25">
      <c r="A282" s="1">
        <v>45689</v>
      </c>
      <c r="B282" s="2" t="s">
        <v>4</v>
      </c>
      <c r="C282" s="2" t="s">
        <v>6</v>
      </c>
      <c r="D282">
        <v>14</v>
      </c>
    </row>
    <row r="283" spans="1:4" x14ac:dyDescent="0.25">
      <c r="A283" s="1">
        <v>45689</v>
      </c>
      <c r="B283" s="2" t="s">
        <v>4</v>
      </c>
      <c r="C283" s="2" t="s">
        <v>7</v>
      </c>
      <c r="D283">
        <v>7</v>
      </c>
    </row>
    <row r="284" spans="1:4" x14ac:dyDescent="0.25">
      <c r="A284" s="1">
        <v>45689</v>
      </c>
      <c r="B284" s="2" t="s">
        <v>8</v>
      </c>
      <c r="C284" s="2" t="s">
        <v>5</v>
      </c>
      <c r="D284">
        <v>38</v>
      </c>
    </row>
    <row r="285" spans="1:4" x14ac:dyDescent="0.25">
      <c r="A285" s="1">
        <v>45689</v>
      </c>
      <c r="B285" s="2" t="s">
        <v>8</v>
      </c>
      <c r="C285" s="2" t="s">
        <v>6</v>
      </c>
      <c r="D285">
        <v>15</v>
      </c>
    </row>
    <row r="286" spans="1:4" x14ac:dyDescent="0.25">
      <c r="A286" s="1">
        <v>45689</v>
      </c>
      <c r="B286" s="2" t="s">
        <v>8</v>
      </c>
      <c r="C286" s="2" t="s">
        <v>7</v>
      </c>
      <c r="D286">
        <v>5</v>
      </c>
    </row>
    <row r="287" spans="1:4" x14ac:dyDescent="0.25">
      <c r="A287" s="1">
        <v>45689</v>
      </c>
      <c r="B287" s="2" t="s">
        <v>9</v>
      </c>
      <c r="C287" s="2" t="s">
        <v>5</v>
      </c>
      <c r="D287">
        <v>23</v>
      </c>
    </row>
    <row r="288" spans="1:4" x14ac:dyDescent="0.25">
      <c r="A288" s="1">
        <v>45689</v>
      </c>
      <c r="B288" s="2" t="s">
        <v>9</v>
      </c>
      <c r="C288" s="2" t="s">
        <v>6</v>
      </c>
      <c r="D288">
        <v>17</v>
      </c>
    </row>
    <row r="289" spans="1:4" x14ac:dyDescent="0.25">
      <c r="A289" s="1">
        <v>45689</v>
      </c>
      <c r="B289" s="2" t="s">
        <v>9</v>
      </c>
      <c r="C289" s="2" t="s">
        <v>7</v>
      </c>
      <c r="D289">
        <v>40</v>
      </c>
    </row>
    <row r="290" spans="1:4" x14ac:dyDescent="0.25">
      <c r="A290" s="1">
        <v>45690</v>
      </c>
      <c r="B290" s="2" t="s">
        <v>4</v>
      </c>
      <c r="C290" s="2" t="s">
        <v>5</v>
      </c>
      <c r="D290">
        <v>33</v>
      </c>
    </row>
    <row r="291" spans="1:4" x14ac:dyDescent="0.25">
      <c r="A291" s="1">
        <v>45690</v>
      </c>
      <c r="B291" s="2" t="s">
        <v>4</v>
      </c>
      <c r="C291" s="2" t="s">
        <v>6</v>
      </c>
      <c r="D291">
        <v>40</v>
      </c>
    </row>
    <row r="292" spans="1:4" x14ac:dyDescent="0.25">
      <c r="A292" s="1">
        <v>45690</v>
      </c>
      <c r="B292" s="2" t="s">
        <v>4</v>
      </c>
      <c r="C292" s="2" t="s">
        <v>7</v>
      </c>
      <c r="D292">
        <v>38</v>
      </c>
    </row>
    <row r="293" spans="1:4" x14ac:dyDescent="0.25">
      <c r="A293" s="1">
        <v>45690</v>
      </c>
      <c r="B293" s="2" t="s">
        <v>8</v>
      </c>
      <c r="C293" s="2" t="s">
        <v>5</v>
      </c>
      <c r="D293">
        <v>23</v>
      </c>
    </row>
    <row r="294" spans="1:4" x14ac:dyDescent="0.25">
      <c r="A294" s="1">
        <v>45690</v>
      </c>
      <c r="B294" s="2" t="s">
        <v>8</v>
      </c>
      <c r="C294" s="2" t="s">
        <v>6</v>
      </c>
      <c r="D294">
        <v>21</v>
      </c>
    </row>
    <row r="295" spans="1:4" x14ac:dyDescent="0.25">
      <c r="A295" s="1">
        <v>45690</v>
      </c>
      <c r="B295" s="2" t="s">
        <v>8</v>
      </c>
      <c r="C295" s="2" t="s">
        <v>7</v>
      </c>
      <c r="D295">
        <v>38</v>
      </c>
    </row>
    <row r="296" spans="1:4" x14ac:dyDescent="0.25">
      <c r="A296" s="1">
        <v>45690</v>
      </c>
      <c r="B296" s="2" t="s">
        <v>9</v>
      </c>
      <c r="C296" s="2" t="s">
        <v>5</v>
      </c>
      <c r="D296">
        <v>20</v>
      </c>
    </row>
    <row r="297" spans="1:4" x14ac:dyDescent="0.25">
      <c r="A297" s="1">
        <v>45690</v>
      </c>
      <c r="B297" s="2" t="s">
        <v>9</v>
      </c>
      <c r="C297" s="2" t="s">
        <v>6</v>
      </c>
      <c r="D297">
        <v>32</v>
      </c>
    </row>
    <row r="298" spans="1:4" x14ac:dyDescent="0.25">
      <c r="A298" s="1">
        <v>45690</v>
      </c>
      <c r="B298" s="2" t="s">
        <v>9</v>
      </c>
      <c r="C298" s="2" t="s">
        <v>7</v>
      </c>
      <c r="D298">
        <v>28</v>
      </c>
    </row>
    <row r="299" spans="1:4" x14ac:dyDescent="0.25">
      <c r="A299" s="1">
        <v>45691</v>
      </c>
      <c r="B299" s="2" t="s">
        <v>4</v>
      </c>
      <c r="C299" s="2" t="s">
        <v>5</v>
      </c>
      <c r="D299">
        <v>21</v>
      </c>
    </row>
    <row r="300" spans="1:4" x14ac:dyDescent="0.25">
      <c r="A300" s="1">
        <v>45691</v>
      </c>
      <c r="B300" s="2" t="s">
        <v>4</v>
      </c>
      <c r="C300" s="2" t="s">
        <v>6</v>
      </c>
      <c r="D300">
        <v>13</v>
      </c>
    </row>
    <row r="301" spans="1:4" x14ac:dyDescent="0.25">
      <c r="A301" s="1">
        <v>45691</v>
      </c>
      <c r="B301" s="2" t="s">
        <v>4</v>
      </c>
      <c r="C301" s="2" t="s">
        <v>7</v>
      </c>
      <c r="D301">
        <v>30</v>
      </c>
    </row>
    <row r="302" spans="1:4" x14ac:dyDescent="0.25">
      <c r="A302" s="1">
        <v>45691</v>
      </c>
      <c r="B302" s="2" t="s">
        <v>8</v>
      </c>
      <c r="C302" s="2" t="s">
        <v>5</v>
      </c>
      <c r="D302">
        <v>23</v>
      </c>
    </row>
    <row r="303" spans="1:4" x14ac:dyDescent="0.25">
      <c r="A303" s="1">
        <v>45691</v>
      </c>
      <c r="B303" s="2" t="s">
        <v>8</v>
      </c>
      <c r="C303" s="2" t="s">
        <v>6</v>
      </c>
      <c r="D303">
        <v>40</v>
      </c>
    </row>
    <row r="304" spans="1:4" x14ac:dyDescent="0.25">
      <c r="A304" s="1">
        <v>45691</v>
      </c>
      <c r="B304" s="2" t="s">
        <v>8</v>
      </c>
      <c r="C304" s="2" t="s">
        <v>7</v>
      </c>
      <c r="D304">
        <v>14</v>
      </c>
    </row>
    <row r="305" spans="1:4" x14ac:dyDescent="0.25">
      <c r="A305" s="1">
        <v>45691</v>
      </c>
      <c r="B305" s="2" t="s">
        <v>9</v>
      </c>
      <c r="C305" s="2" t="s">
        <v>5</v>
      </c>
      <c r="D305">
        <v>20</v>
      </c>
    </row>
    <row r="306" spans="1:4" x14ac:dyDescent="0.25">
      <c r="A306" s="1">
        <v>45691</v>
      </c>
      <c r="B306" s="2" t="s">
        <v>9</v>
      </c>
      <c r="C306" s="2" t="s">
        <v>6</v>
      </c>
      <c r="D306">
        <v>5</v>
      </c>
    </row>
    <row r="307" spans="1:4" x14ac:dyDescent="0.25">
      <c r="A307" s="1">
        <v>45691</v>
      </c>
      <c r="B307" s="2" t="s">
        <v>9</v>
      </c>
      <c r="C307" s="2" t="s">
        <v>7</v>
      </c>
      <c r="D307">
        <v>16</v>
      </c>
    </row>
    <row r="308" spans="1:4" x14ac:dyDescent="0.25">
      <c r="A308" s="1">
        <v>45692</v>
      </c>
      <c r="B308" s="2" t="s">
        <v>4</v>
      </c>
      <c r="C308" s="2" t="s">
        <v>5</v>
      </c>
      <c r="D308">
        <v>13</v>
      </c>
    </row>
    <row r="309" spans="1:4" x14ac:dyDescent="0.25">
      <c r="A309" s="1">
        <v>45692</v>
      </c>
      <c r="B309" s="2" t="s">
        <v>4</v>
      </c>
      <c r="C309" s="2" t="s">
        <v>6</v>
      </c>
      <c r="D309">
        <v>5</v>
      </c>
    </row>
    <row r="310" spans="1:4" x14ac:dyDescent="0.25">
      <c r="A310" s="1">
        <v>45692</v>
      </c>
      <c r="B310" s="2" t="s">
        <v>4</v>
      </c>
      <c r="C310" s="2" t="s">
        <v>7</v>
      </c>
      <c r="D310">
        <v>8</v>
      </c>
    </row>
    <row r="311" spans="1:4" x14ac:dyDescent="0.25">
      <c r="A311" s="1">
        <v>45692</v>
      </c>
      <c r="B311" s="2" t="s">
        <v>8</v>
      </c>
      <c r="C311" s="2" t="s">
        <v>5</v>
      </c>
      <c r="D311">
        <v>11</v>
      </c>
    </row>
    <row r="312" spans="1:4" x14ac:dyDescent="0.25">
      <c r="A312" s="1">
        <v>45692</v>
      </c>
      <c r="B312" s="2" t="s">
        <v>8</v>
      </c>
      <c r="C312" s="2" t="s">
        <v>6</v>
      </c>
      <c r="D312">
        <v>26</v>
      </c>
    </row>
    <row r="313" spans="1:4" x14ac:dyDescent="0.25">
      <c r="A313" s="1">
        <v>45692</v>
      </c>
      <c r="B313" s="2" t="s">
        <v>8</v>
      </c>
      <c r="C313" s="2" t="s">
        <v>7</v>
      </c>
      <c r="D313">
        <v>31</v>
      </c>
    </row>
    <row r="314" spans="1:4" x14ac:dyDescent="0.25">
      <c r="A314" s="1">
        <v>45692</v>
      </c>
      <c r="B314" s="2" t="s">
        <v>9</v>
      </c>
      <c r="C314" s="2" t="s">
        <v>5</v>
      </c>
      <c r="D314">
        <v>24</v>
      </c>
    </row>
    <row r="315" spans="1:4" x14ac:dyDescent="0.25">
      <c r="A315" s="1">
        <v>45692</v>
      </c>
      <c r="B315" s="2" t="s">
        <v>9</v>
      </c>
      <c r="C315" s="2" t="s">
        <v>6</v>
      </c>
      <c r="D315">
        <v>26</v>
      </c>
    </row>
    <row r="316" spans="1:4" x14ac:dyDescent="0.25">
      <c r="A316" s="1">
        <v>45692</v>
      </c>
      <c r="B316" s="2" t="s">
        <v>9</v>
      </c>
      <c r="C316" s="2" t="s">
        <v>7</v>
      </c>
      <c r="D316">
        <v>32</v>
      </c>
    </row>
    <row r="317" spans="1:4" x14ac:dyDescent="0.25">
      <c r="A317" s="1">
        <v>45693</v>
      </c>
      <c r="B317" s="2" t="s">
        <v>4</v>
      </c>
      <c r="C317" s="2" t="s">
        <v>5</v>
      </c>
      <c r="D317">
        <v>34</v>
      </c>
    </row>
    <row r="318" spans="1:4" x14ac:dyDescent="0.25">
      <c r="A318" s="1">
        <v>45693</v>
      </c>
      <c r="B318" s="2" t="s">
        <v>4</v>
      </c>
      <c r="C318" s="2" t="s">
        <v>6</v>
      </c>
      <c r="D318">
        <v>40</v>
      </c>
    </row>
    <row r="319" spans="1:4" x14ac:dyDescent="0.25">
      <c r="A319" s="1">
        <v>45693</v>
      </c>
      <c r="B319" s="2" t="s">
        <v>4</v>
      </c>
      <c r="C319" s="2" t="s">
        <v>7</v>
      </c>
      <c r="D319">
        <v>34</v>
      </c>
    </row>
    <row r="320" spans="1:4" x14ac:dyDescent="0.25">
      <c r="A320" s="1">
        <v>45693</v>
      </c>
      <c r="B320" s="2" t="s">
        <v>8</v>
      </c>
      <c r="C320" s="2" t="s">
        <v>5</v>
      </c>
      <c r="D320">
        <v>21</v>
      </c>
    </row>
    <row r="321" spans="1:4" x14ac:dyDescent="0.25">
      <c r="A321" s="1">
        <v>45693</v>
      </c>
      <c r="B321" s="2" t="s">
        <v>8</v>
      </c>
      <c r="C321" s="2" t="s">
        <v>6</v>
      </c>
      <c r="D321">
        <v>16</v>
      </c>
    </row>
    <row r="322" spans="1:4" x14ac:dyDescent="0.25">
      <c r="A322" s="1">
        <v>45693</v>
      </c>
      <c r="B322" s="2" t="s">
        <v>8</v>
      </c>
      <c r="C322" s="2" t="s">
        <v>7</v>
      </c>
      <c r="D322">
        <v>10</v>
      </c>
    </row>
    <row r="323" spans="1:4" x14ac:dyDescent="0.25">
      <c r="A323" s="1">
        <v>45693</v>
      </c>
      <c r="B323" s="2" t="s">
        <v>9</v>
      </c>
      <c r="C323" s="2" t="s">
        <v>5</v>
      </c>
      <c r="D323">
        <v>21</v>
      </c>
    </row>
    <row r="324" spans="1:4" x14ac:dyDescent="0.25">
      <c r="A324" s="1">
        <v>45693</v>
      </c>
      <c r="B324" s="2" t="s">
        <v>9</v>
      </c>
      <c r="C324" s="2" t="s">
        <v>6</v>
      </c>
      <c r="D324">
        <v>7</v>
      </c>
    </row>
    <row r="325" spans="1:4" x14ac:dyDescent="0.25">
      <c r="A325" s="1">
        <v>45693</v>
      </c>
      <c r="B325" s="2" t="s">
        <v>9</v>
      </c>
      <c r="C325" s="2" t="s">
        <v>7</v>
      </c>
      <c r="D325">
        <v>26</v>
      </c>
    </row>
    <row r="326" spans="1:4" x14ac:dyDescent="0.25">
      <c r="A326" s="1">
        <v>45694</v>
      </c>
      <c r="B326" s="2" t="s">
        <v>4</v>
      </c>
      <c r="C326" s="2" t="s">
        <v>5</v>
      </c>
      <c r="D326">
        <v>23</v>
      </c>
    </row>
    <row r="327" spans="1:4" x14ac:dyDescent="0.25">
      <c r="A327" s="1">
        <v>45694</v>
      </c>
      <c r="B327" s="2" t="s">
        <v>4</v>
      </c>
      <c r="C327" s="2" t="s">
        <v>6</v>
      </c>
      <c r="D327">
        <v>16</v>
      </c>
    </row>
    <row r="328" spans="1:4" x14ac:dyDescent="0.25">
      <c r="A328" s="1">
        <v>45694</v>
      </c>
      <c r="B328" s="2" t="s">
        <v>4</v>
      </c>
      <c r="C328" s="2" t="s">
        <v>7</v>
      </c>
      <c r="D328">
        <v>28</v>
      </c>
    </row>
    <row r="329" spans="1:4" x14ac:dyDescent="0.25">
      <c r="A329" s="1">
        <v>45694</v>
      </c>
      <c r="B329" s="2" t="s">
        <v>8</v>
      </c>
      <c r="C329" s="2" t="s">
        <v>5</v>
      </c>
      <c r="D329">
        <v>26</v>
      </c>
    </row>
    <row r="330" spans="1:4" x14ac:dyDescent="0.25">
      <c r="A330" s="1">
        <v>45694</v>
      </c>
      <c r="B330" s="2" t="s">
        <v>8</v>
      </c>
      <c r="C330" s="2" t="s">
        <v>6</v>
      </c>
      <c r="D330">
        <v>9</v>
      </c>
    </row>
    <row r="331" spans="1:4" x14ac:dyDescent="0.25">
      <c r="A331" s="1">
        <v>45694</v>
      </c>
      <c r="B331" s="2" t="s">
        <v>8</v>
      </c>
      <c r="C331" s="2" t="s">
        <v>7</v>
      </c>
      <c r="D331">
        <v>30</v>
      </c>
    </row>
    <row r="332" spans="1:4" x14ac:dyDescent="0.25">
      <c r="A332" s="1">
        <v>45694</v>
      </c>
      <c r="B332" s="2" t="s">
        <v>9</v>
      </c>
      <c r="C332" s="2" t="s">
        <v>5</v>
      </c>
      <c r="D332">
        <v>18</v>
      </c>
    </row>
    <row r="333" spans="1:4" x14ac:dyDescent="0.25">
      <c r="A333" s="1">
        <v>45694</v>
      </c>
      <c r="B333" s="2" t="s">
        <v>9</v>
      </c>
      <c r="C333" s="2" t="s">
        <v>6</v>
      </c>
      <c r="D333">
        <v>11</v>
      </c>
    </row>
    <row r="334" spans="1:4" x14ac:dyDescent="0.25">
      <c r="A334" s="1">
        <v>45694</v>
      </c>
      <c r="B334" s="2" t="s">
        <v>9</v>
      </c>
      <c r="C334" s="2" t="s">
        <v>7</v>
      </c>
      <c r="D334">
        <v>22</v>
      </c>
    </row>
    <row r="335" spans="1:4" x14ac:dyDescent="0.25">
      <c r="A335" s="1">
        <v>45695</v>
      </c>
      <c r="B335" s="2" t="s">
        <v>4</v>
      </c>
      <c r="C335" s="2" t="s">
        <v>5</v>
      </c>
      <c r="D335">
        <v>15</v>
      </c>
    </row>
    <row r="336" spans="1:4" x14ac:dyDescent="0.25">
      <c r="A336" s="1">
        <v>45695</v>
      </c>
      <c r="B336" s="2" t="s">
        <v>4</v>
      </c>
      <c r="C336" s="2" t="s">
        <v>6</v>
      </c>
      <c r="D336">
        <v>26</v>
      </c>
    </row>
    <row r="337" spans="1:4" x14ac:dyDescent="0.25">
      <c r="A337" s="1">
        <v>45695</v>
      </c>
      <c r="B337" s="2" t="s">
        <v>4</v>
      </c>
      <c r="C337" s="2" t="s">
        <v>7</v>
      </c>
      <c r="D337">
        <v>20</v>
      </c>
    </row>
    <row r="338" spans="1:4" x14ac:dyDescent="0.25">
      <c r="A338" s="1">
        <v>45695</v>
      </c>
      <c r="B338" s="2" t="s">
        <v>8</v>
      </c>
      <c r="C338" s="2" t="s">
        <v>5</v>
      </c>
      <c r="D338">
        <v>30</v>
      </c>
    </row>
    <row r="339" spans="1:4" x14ac:dyDescent="0.25">
      <c r="A339" s="1">
        <v>45695</v>
      </c>
      <c r="B339" s="2" t="s">
        <v>8</v>
      </c>
      <c r="C339" s="2" t="s">
        <v>6</v>
      </c>
      <c r="D339">
        <v>5</v>
      </c>
    </row>
    <row r="340" spans="1:4" x14ac:dyDescent="0.25">
      <c r="A340" s="1">
        <v>45695</v>
      </c>
      <c r="B340" s="2" t="s">
        <v>8</v>
      </c>
      <c r="C340" s="2" t="s">
        <v>7</v>
      </c>
      <c r="D340">
        <v>12</v>
      </c>
    </row>
    <row r="341" spans="1:4" x14ac:dyDescent="0.25">
      <c r="A341" s="1">
        <v>45695</v>
      </c>
      <c r="B341" s="2" t="s">
        <v>9</v>
      </c>
      <c r="C341" s="2" t="s">
        <v>5</v>
      </c>
      <c r="D341">
        <v>7</v>
      </c>
    </row>
    <row r="342" spans="1:4" x14ac:dyDescent="0.25">
      <c r="A342" s="1">
        <v>45695</v>
      </c>
      <c r="B342" s="2" t="s">
        <v>9</v>
      </c>
      <c r="C342" s="2" t="s">
        <v>6</v>
      </c>
      <c r="D342">
        <v>32</v>
      </c>
    </row>
    <row r="343" spans="1:4" x14ac:dyDescent="0.25">
      <c r="A343" s="1">
        <v>45695</v>
      </c>
      <c r="B343" s="2" t="s">
        <v>9</v>
      </c>
      <c r="C343" s="2" t="s">
        <v>7</v>
      </c>
      <c r="D343">
        <v>7</v>
      </c>
    </row>
    <row r="344" spans="1:4" x14ac:dyDescent="0.25">
      <c r="A344" s="1">
        <v>45696</v>
      </c>
      <c r="B344" s="2" t="s">
        <v>4</v>
      </c>
      <c r="C344" s="2" t="s">
        <v>5</v>
      </c>
      <c r="D344">
        <v>27</v>
      </c>
    </row>
    <row r="345" spans="1:4" x14ac:dyDescent="0.25">
      <c r="A345" s="1">
        <v>45696</v>
      </c>
      <c r="B345" s="2" t="s">
        <v>4</v>
      </c>
      <c r="C345" s="2" t="s">
        <v>6</v>
      </c>
      <c r="D345">
        <v>35</v>
      </c>
    </row>
    <row r="346" spans="1:4" x14ac:dyDescent="0.25">
      <c r="A346" s="1">
        <v>45696</v>
      </c>
      <c r="B346" s="2" t="s">
        <v>4</v>
      </c>
      <c r="C346" s="2" t="s">
        <v>7</v>
      </c>
      <c r="D346">
        <v>5</v>
      </c>
    </row>
    <row r="347" spans="1:4" x14ac:dyDescent="0.25">
      <c r="A347" s="1">
        <v>45696</v>
      </c>
      <c r="B347" s="2" t="s">
        <v>8</v>
      </c>
      <c r="C347" s="2" t="s">
        <v>5</v>
      </c>
      <c r="D347">
        <v>11</v>
      </c>
    </row>
    <row r="348" spans="1:4" x14ac:dyDescent="0.25">
      <c r="A348" s="1">
        <v>45696</v>
      </c>
      <c r="B348" s="2" t="s">
        <v>8</v>
      </c>
      <c r="C348" s="2" t="s">
        <v>6</v>
      </c>
      <c r="D348">
        <v>24</v>
      </c>
    </row>
    <row r="349" spans="1:4" x14ac:dyDescent="0.25">
      <c r="A349" s="1">
        <v>45696</v>
      </c>
      <c r="B349" s="2" t="s">
        <v>8</v>
      </c>
      <c r="C349" s="2" t="s">
        <v>7</v>
      </c>
      <c r="D349">
        <v>27</v>
      </c>
    </row>
    <row r="350" spans="1:4" x14ac:dyDescent="0.25">
      <c r="A350" s="1">
        <v>45696</v>
      </c>
      <c r="B350" s="2" t="s">
        <v>9</v>
      </c>
      <c r="C350" s="2" t="s">
        <v>5</v>
      </c>
      <c r="D350">
        <v>26</v>
      </c>
    </row>
    <row r="351" spans="1:4" x14ac:dyDescent="0.25">
      <c r="A351" s="1">
        <v>45696</v>
      </c>
      <c r="B351" s="2" t="s">
        <v>9</v>
      </c>
      <c r="C351" s="2" t="s">
        <v>6</v>
      </c>
      <c r="D351">
        <v>24</v>
      </c>
    </row>
    <row r="352" spans="1:4" x14ac:dyDescent="0.25">
      <c r="A352" s="1">
        <v>45696</v>
      </c>
      <c r="B352" s="2" t="s">
        <v>9</v>
      </c>
      <c r="C352" s="2" t="s">
        <v>7</v>
      </c>
      <c r="D352">
        <v>22</v>
      </c>
    </row>
    <row r="353" spans="1:4" x14ac:dyDescent="0.25">
      <c r="A353" s="1">
        <v>45697</v>
      </c>
      <c r="B353" s="2" t="s">
        <v>4</v>
      </c>
      <c r="C353" s="2" t="s">
        <v>5</v>
      </c>
      <c r="D353">
        <v>36</v>
      </c>
    </row>
    <row r="354" spans="1:4" x14ac:dyDescent="0.25">
      <c r="A354" s="1">
        <v>45697</v>
      </c>
      <c r="B354" s="2" t="s">
        <v>4</v>
      </c>
      <c r="C354" s="2" t="s">
        <v>6</v>
      </c>
      <c r="D354">
        <v>24</v>
      </c>
    </row>
    <row r="355" spans="1:4" x14ac:dyDescent="0.25">
      <c r="A355" s="1">
        <v>45697</v>
      </c>
      <c r="B355" s="2" t="s">
        <v>4</v>
      </c>
      <c r="C355" s="2" t="s">
        <v>7</v>
      </c>
      <c r="D355">
        <v>10</v>
      </c>
    </row>
    <row r="356" spans="1:4" x14ac:dyDescent="0.25">
      <c r="A356" s="1">
        <v>45697</v>
      </c>
      <c r="B356" s="2" t="s">
        <v>8</v>
      </c>
      <c r="C356" s="2" t="s">
        <v>5</v>
      </c>
      <c r="D356">
        <v>19</v>
      </c>
    </row>
    <row r="357" spans="1:4" x14ac:dyDescent="0.25">
      <c r="A357" s="1">
        <v>45697</v>
      </c>
      <c r="B357" s="2" t="s">
        <v>8</v>
      </c>
      <c r="C357" s="2" t="s">
        <v>6</v>
      </c>
      <c r="D357">
        <v>13</v>
      </c>
    </row>
    <row r="358" spans="1:4" x14ac:dyDescent="0.25">
      <c r="A358" s="1">
        <v>45697</v>
      </c>
      <c r="B358" s="2" t="s">
        <v>8</v>
      </c>
      <c r="C358" s="2" t="s">
        <v>7</v>
      </c>
      <c r="D358">
        <v>38</v>
      </c>
    </row>
    <row r="359" spans="1:4" x14ac:dyDescent="0.25">
      <c r="A359" s="1">
        <v>45697</v>
      </c>
      <c r="B359" s="2" t="s">
        <v>9</v>
      </c>
      <c r="C359" s="2" t="s">
        <v>5</v>
      </c>
      <c r="D359">
        <v>29</v>
      </c>
    </row>
    <row r="360" spans="1:4" x14ac:dyDescent="0.25">
      <c r="A360" s="1">
        <v>45697</v>
      </c>
      <c r="B360" s="2" t="s">
        <v>9</v>
      </c>
      <c r="C360" s="2" t="s">
        <v>6</v>
      </c>
      <c r="D360">
        <v>39</v>
      </c>
    </row>
    <row r="361" spans="1:4" x14ac:dyDescent="0.25">
      <c r="A361" s="1">
        <v>45697</v>
      </c>
      <c r="B361" s="2" t="s">
        <v>9</v>
      </c>
      <c r="C361" s="2" t="s">
        <v>7</v>
      </c>
      <c r="D361">
        <v>10</v>
      </c>
    </row>
    <row r="362" spans="1:4" x14ac:dyDescent="0.25">
      <c r="A362" s="1">
        <v>45698</v>
      </c>
      <c r="B362" s="2" t="s">
        <v>4</v>
      </c>
      <c r="C362" s="2" t="s">
        <v>5</v>
      </c>
      <c r="D362">
        <v>20</v>
      </c>
    </row>
    <row r="363" spans="1:4" x14ac:dyDescent="0.25">
      <c r="A363" s="1">
        <v>45698</v>
      </c>
      <c r="B363" s="2" t="s">
        <v>4</v>
      </c>
      <c r="C363" s="2" t="s">
        <v>6</v>
      </c>
      <c r="D363">
        <v>11</v>
      </c>
    </row>
    <row r="364" spans="1:4" x14ac:dyDescent="0.25">
      <c r="A364" s="1">
        <v>45698</v>
      </c>
      <c r="B364" s="2" t="s">
        <v>4</v>
      </c>
      <c r="C364" s="2" t="s">
        <v>7</v>
      </c>
      <c r="D364">
        <v>32</v>
      </c>
    </row>
    <row r="365" spans="1:4" x14ac:dyDescent="0.25">
      <c r="A365" s="1">
        <v>45698</v>
      </c>
      <c r="B365" s="2" t="s">
        <v>8</v>
      </c>
      <c r="C365" s="2" t="s">
        <v>5</v>
      </c>
      <c r="D365">
        <v>25</v>
      </c>
    </row>
    <row r="366" spans="1:4" x14ac:dyDescent="0.25">
      <c r="A366" s="1">
        <v>45698</v>
      </c>
      <c r="B366" s="2" t="s">
        <v>8</v>
      </c>
      <c r="C366" s="2" t="s">
        <v>6</v>
      </c>
      <c r="D366">
        <v>14</v>
      </c>
    </row>
    <row r="367" spans="1:4" x14ac:dyDescent="0.25">
      <c r="A367" s="1">
        <v>45698</v>
      </c>
      <c r="B367" s="2" t="s">
        <v>8</v>
      </c>
      <c r="C367" s="2" t="s">
        <v>7</v>
      </c>
      <c r="D367">
        <v>7</v>
      </c>
    </row>
    <row r="368" spans="1:4" x14ac:dyDescent="0.25">
      <c r="A368" s="1">
        <v>45698</v>
      </c>
      <c r="B368" s="2" t="s">
        <v>9</v>
      </c>
      <c r="C368" s="2" t="s">
        <v>5</v>
      </c>
      <c r="D368">
        <v>35</v>
      </c>
    </row>
    <row r="369" spans="1:4" x14ac:dyDescent="0.25">
      <c r="A369" s="1">
        <v>45698</v>
      </c>
      <c r="B369" s="2" t="s">
        <v>9</v>
      </c>
      <c r="C369" s="2" t="s">
        <v>6</v>
      </c>
      <c r="D369">
        <v>26</v>
      </c>
    </row>
    <row r="370" spans="1:4" x14ac:dyDescent="0.25">
      <c r="A370" s="1">
        <v>45698</v>
      </c>
      <c r="B370" s="2" t="s">
        <v>9</v>
      </c>
      <c r="C370" s="2" t="s">
        <v>7</v>
      </c>
      <c r="D370">
        <v>31</v>
      </c>
    </row>
    <row r="371" spans="1:4" x14ac:dyDescent="0.25">
      <c r="A371" s="1">
        <v>45699</v>
      </c>
      <c r="B371" s="2" t="s">
        <v>4</v>
      </c>
      <c r="C371" s="2" t="s">
        <v>5</v>
      </c>
      <c r="D371">
        <v>37</v>
      </c>
    </row>
    <row r="372" spans="1:4" x14ac:dyDescent="0.25">
      <c r="A372" s="1">
        <v>45699</v>
      </c>
      <c r="B372" s="2" t="s">
        <v>4</v>
      </c>
      <c r="C372" s="2" t="s">
        <v>6</v>
      </c>
      <c r="D372">
        <v>13</v>
      </c>
    </row>
    <row r="373" spans="1:4" x14ac:dyDescent="0.25">
      <c r="A373" s="1">
        <v>45699</v>
      </c>
      <c r="B373" s="2" t="s">
        <v>4</v>
      </c>
      <c r="C373" s="2" t="s">
        <v>7</v>
      </c>
      <c r="D373">
        <v>24</v>
      </c>
    </row>
    <row r="374" spans="1:4" x14ac:dyDescent="0.25">
      <c r="A374" s="1">
        <v>45699</v>
      </c>
      <c r="B374" s="2" t="s">
        <v>8</v>
      </c>
      <c r="C374" s="2" t="s">
        <v>5</v>
      </c>
      <c r="D374">
        <v>5</v>
      </c>
    </row>
    <row r="375" spans="1:4" x14ac:dyDescent="0.25">
      <c r="A375" s="1">
        <v>45699</v>
      </c>
      <c r="B375" s="2" t="s">
        <v>8</v>
      </c>
      <c r="C375" s="2" t="s">
        <v>6</v>
      </c>
      <c r="D375">
        <v>39</v>
      </c>
    </row>
    <row r="376" spans="1:4" x14ac:dyDescent="0.25">
      <c r="A376" s="1">
        <v>45699</v>
      </c>
      <c r="B376" s="2" t="s">
        <v>8</v>
      </c>
      <c r="C376" s="2" t="s">
        <v>7</v>
      </c>
      <c r="D376">
        <v>24</v>
      </c>
    </row>
    <row r="377" spans="1:4" x14ac:dyDescent="0.25">
      <c r="A377" s="1">
        <v>45699</v>
      </c>
      <c r="B377" s="2" t="s">
        <v>9</v>
      </c>
      <c r="C377" s="2" t="s">
        <v>5</v>
      </c>
      <c r="D377">
        <v>35</v>
      </c>
    </row>
    <row r="378" spans="1:4" x14ac:dyDescent="0.25">
      <c r="A378" s="1">
        <v>45699</v>
      </c>
      <c r="B378" s="2" t="s">
        <v>9</v>
      </c>
      <c r="C378" s="2" t="s">
        <v>6</v>
      </c>
      <c r="D378">
        <v>20</v>
      </c>
    </row>
    <row r="379" spans="1:4" x14ac:dyDescent="0.25">
      <c r="A379" s="1">
        <v>45699</v>
      </c>
      <c r="B379" s="2" t="s">
        <v>9</v>
      </c>
      <c r="C379" s="2" t="s">
        <v>7</v>
      </c>
      <c r="D379">
        <v>29</v>
      </c>
    </row>
    <row r="380" spans="1:4" x14ac:dyDescent="0.25">
      <c r="A380" s="1">
        <v>45700</v>
      </c>
      <c r="B380" s="2" t="s">
        <v>4</v>
      </c>
      <c r="C380" s="2" t="s">
        <v>5</v>
      </c>
      <c r="D380">
        <v>27</v>
      </c>
    </row>
    <row r="381" spans="1:4" x14ac:dyDescent="0.25">
      <c r="A381" s="1">
        <v>45700</v>
      </c>
      <c r="B381" s="2" t="s">
        <v>4</v>
      </c>
      <c r="C381" s="2" t="s">
        <v>6</v>
      </c>
      <c r="D381">
        <v>29</v>
      </c>
    </row>
    <row r="382" spans="1:4" x14ac:dyDescent="0.25">
      <c r="A382" s="1">
        <v>45700</v>
      </c>
      <c r="B382" s="2" t="s">
        <v>4</v>
      </c>
      <c r="C382" s="2" t="s">
        <v>7</v>
      </c>
      <c r="D382">
        <v>15</v>
      </c>
    </row>
    <row r="383" spans="1:4" x14ac:dyDescent="0.25">
      <c r="A383" s="1">
        <v>45700</v>
      </c>
      <c r="B383" s="2" t="s">
        <v>8</v>
      </c>
      <c r="C383" s="2" t="s">
        <v>5</v>
      </c>
      <c r="D383">
        <v>17</v>
      </c>
    </row>
    <row r="384" spans="1:4" x14ac:dyDescent="0.25">
      <c r="A384" s="1">
        <v>45700</v>
      </c>
      <c r="B384" s="2" t="s">
        <v>8</v>
      </c>
      <c r="C384" s="2" t="s">
        <v>6</v>
      </c>
      <c r="D384">
        <v>22</v>
      </c>
    </row>
    <row r="385" spans="1:4" x14ac:dyDescent="0.25">
      <c r="A385" s="1">
        <v>45700</v>
      </c>
      <c r="B385" s="2" t="s">
        <v>8</v>
      </c>
      <c r="C385" s="2" t="s">
        <v>7</v>
      </c>
      <c r="D385">
        <v>36</v>
      </c>
    </row>
    <row r="386" spans="1:4" x14ac:dyDescent="0.25">
      <c r="A386" s="1">
        <v>45700</v>
      </c>
      <c r="B386" s="2" t="s">
        <v>9</v>
      </c>
      <c r="C386" s="2" t="s">
        <v>5</v>
      </c>
      <c r="D386">
        <v>25</v>
      </c>
    </row>
    <row r="387" spans="1:4" x14ac:dyDescent="0.25">
      <c r="A387" s="1">
        <v>45700</v>
      </c>
      <c r="B387" s="2" t="s">
        <v>9</v>
      </c>
      <c r="C387" s="2" t="s">
        <v>6</v>
      </c>
      <c r="D387">
        <v>22</v>
      </c>
    </row>
    <row r="388" spans="1:4" x14ac:dyDescent="0.25">
      <c r="A388" s="1">
        <v>45700</v>
      </c>
      <c r="B388" s="2" t="s">
        <v>9</v>
      </c>
      <c r="C388" s="2" t="s">
        <v>7</v>
      </c>
      <c r="D388">
        <v>14</v>
      </c>
    </row>
    <row r="389" spans="1:4" x14ac:dyDescent="0.25">
      <c r="A389" s="1">
        <v>45701</v>
      </c>
      <c r="B389" s="2" t="s">
        <v>4</v>
      </c>
      <c r="C389" s="2" t="s">
        <v>5</v>
      </c>
      <c r="D389">
        <v>31</v>
      </c>
    </row>
    <row r="390" spans="1:4" x14ac:dyDescent="0.25">
      <c r="A390" s="1">
        <v>45701</v>
      </c>
      <c r="B390" s="2" t="s">
        <v>4</v>
      </c>
      <c r="C390" s="2" t="s">
        <v>6</v>
      </c>
      <c r="D390">
        <v>38</v>
      </c>
    </row>
    <row r="391" spans="1:4" x14ac:dyDescent="0.25">
      <c r="A391" s="1">
        <v>45701</v>
      </c>
      <c r="B391" s="2" t="s">
        <v>4</v>
      </c>
      <c r="C391" s="2" t="s">
        <v>7</v>
      </c>
      <c r="D391">
        <v>28</v>
      </c>
    </row>
    <row r="392" spans="1:4" x14ac:dyDescent="0.25">
      <c r="A392" s="1">
        <v>45701</v>
      </c>
      <c r="B392" s="2" t="s">
        <v>8</v>
      </c>
      <c r="C392" s="2" t="s">
        <v>5</v>
      </c>
      <c r="D392">
        <v>40</v>
      </c>
    </row>
    <row r="393" spans="1:4" x14ac:dyDescent="0.25">
      <c r="A393" s="1">
        <v>45701</v>
      </c>
      <c r="B393" s="2" t="s">
        <v>8</v>
      </c>
      <c r="C393" s="2" t="s">
        <v>6</v>
      </c>
      <c r="D393">
        <v>9</v>
      </c>
    </row>
    <row r="394" spans="1:4" x14ac:dyDescent="0.25">
      <c r="A394" s="1">
        <v>45701</v>
      </c>
      <c r="B394" s="2" t="s">
        <v>8</v>
      </c>
      <c r="C394" s="2" t="s">
        <v>7</v>
      </c>
      <c r="D394">
        <v>34</v>
      </c>
    </row>
    <row r="395" spans="1:4" x14ac:dyDescent="0.25">
      <c r="A395" s="1">
        <v>45701</v>
      </c>
      <c r="B395" s="2" t="s">
        <v>9</v>
      </c>
      <c r="C395" s="2" t="s">
        <v>5</v>
      </c>
      <c r="D395">
        <v>39</v>
      </c>
    </row>
    <row r="396" spans="1:4" x14ac:dyDescent="0.25">
      <c r="A396" s="1">
        <v>45701</v>
      </c>
      <c r="B396" s="2" t="s">
        <v>9</v>
      </c>
      <c r="C396" s="2" t="s">
        <v>6</v>
      </c>
      <c r="D396">
        <v>15</v>
      </c>
    </row>
    <row r="397" spans="1:4" x14ac:dyDescent="0.25">
      <c r="A397" s="1">
        <v>45701</v>
      </c>
      <c r="B397" s="2" t="s">
        <v>9</v>
      </c>
      <c r="C397" s="2" t="s">
        <v>7</v>
      </c>
      <c r="D397">
        <v>17</v>
      </c>
    </row>
    <row r="398" spans="1:4" x14ac:dyDescent="0.25">
      <c r="A398" s="1">
        <v>45702</v>
      </c>
      <c r="B398" s="2" t="s">
        <v>4</v>
      </c>
      <c r="C398" s="2" t="s">
        <v>5</v>
      </c>
      <c r="D398">
        <v>15</v>
      </c>
    </row>
    <row r="399" spans="1:4" x14ac:dyDescent="0.25">
      <c r="A399" s="1">
        <v>45702</v>
      </c>
      <c r="B399" s="2" t="s">
        <v>4</v>
      </c>
      <c r="C399" s="2" t="s">
        <v>6</v>
      </c>
      <c r="D399">
        <v>35</v>
      </c>
    </row>
    <row r="400" spans="1:4" x14ac:dyDescent="0.25">
      <c r="A400" s="1">
        <v>45702</v>
      </c>
      <c r="B400" s="2" t="s">
        <v>4</v>
      </c>
      <c r="C400" s="2" t="s">
        <v>7</v>
      </c>
      <c r="D400">
        <v>28</v>
      </c>
    </row>
    <row r="401" spans="1:4" x14ac:dyDescent="0.25">
      <c r="A401" s="1">
        <v>45702</v>
      </c>
      <c r="B401" s="2" t="s">
        <v>8</v>
      </c>
      <c r="C401" s="2" t="s">
        <v>5</v>
      </c>
      <c r="D401">
        <v>17</v>
      </c>
    </row>
    <row r="402" spans="1:4" x14ac:dyDescent="0.25">
      <c r="A402" s="1">
        <v>45702</v>
      </c>
      <c r="B402" s="2" t="s">
        <v>8</v>
      </c>
      <c r="C402" s="2" t="s">
        <v>6</v>
      </c>
      <c r="D402">
        <v>28</v>
      </c>
    </row>
    <row r="403" spans="1:4" x14ac:dyDescent="0.25">
      <c r="A403" s="1">
        <v>45702</v>
      </c>
      <c r="B403" s="2" t="s">
        <v>8</v>
      </c>
      <c r="C403" s="2" t="s">
        <v>7</v>
      </c>
      <c r="D403">
        <v>14</v>
      </c>
    </row>
    <row r="404" spans="1:4" x14ac:dyDescent="0.25">
      <c r="A404" s="1">
        <v>45702</v>
      </c>
      <c r="B404" s="2" t="s">
        <v>9</v>
      </c>
      <c r="C404" s="2" t="s">
        <v>5</v>
      </c>
      <c r="D404">
        <v>18</v>
      </c>
    </row>
    <row r="405" spans="1:4" x14ac:dyDescent="0.25">
      <c r="A405" s="1">
        <v>45702</v>
      </c>
      <c r="B405" s="2" t="s">
        <v>9</v>
      </c>
      <c r="C405" s="2" t="s">
        <v>6</v>
      </c>
      <c r="D405">
        <v>27</v>
      </c>
    </row>
    <row r="406" spans="1:4" x14ac:dyDescent="0.25">
      <c r="A406" s="1">
        <v>45702</v>
      </c>
      <c r="B406" s="2" t="s">
        <v>9</v>
      </c>
      <c r="C406" s="2" t="s">
        <v>7</v>
      </c>
      <c r="D406">
        <v>32</v>
      </c>
    </row>
    <row r="407" spans="1:4" x14ac:dyDescent="0.25">
      <c r="A407" s="1">
        <v>45703</v>
      </c>
      <c r="B407" s="2" t="s">
        <v>4</v>
      </c>
      <c r="C407" s="2" t="s">
        <v>5</v>
      </c>
      <c r="D407">
        <v>10</v>
      </c>
    </row>
    <row r="408" spans="1:4" x14ac:dyDescent="0.25">
      <c r="A408" s="1">
        <v>45703</v>
      </c>
      <c r="B408" s="2" t="s">
        <v>4</v>
      </c>
      <c r="C408" s="2" t="s">
        <v>6</v>
      </c>
      <c r="D408">
        <v>21</v>
      </c>
    </row>
    <row r="409" spans="1:4" x14ac:dyDescent="0.25">
      <c r="A409" s="1">
        <v>45703</v>
      </c>
      <c r="B409" s="2" t="s">
        <v>4</v>
      </c>
      <c r="C409" s="2" t="s">
        <v>7</v>
      </c>
      <c r="D409">
        <v>31</v>
      </c>
    </row>
    <row r="410" spans="1:4" x14ac:dyDescent="0.25">
      <c r="A410" s="1">
        <v>45703</v>
      </c>
      <c r="B410" s="2" t="s">
        <v>8</v>
      </c>
      <c r="C410" s="2" t="s">
        <v>5</v>
      </c>
      <c r="D410">
        <v>10</v>
      </c>
    </row>
    <row r="411" spans="1:4" x14ac:dyDescent="0.25">
      <c r="A411" s="1">
        <v>45703</v>
      </c>
      <c r="B411" s="2" t="s">
        <v>8</v>
      </c>
      <c r="C411" s="2" t="s">
        <v>6</v>
      </c>
      <c r="D411">
        <v>25</v>
      </c>
    </row>
    <row r="412" spans="1:4" x14ac:dyDescent="0.25">
      <c r="A412" s="1">
        <v>45703</v>
      </c>
      <c r="B412" s="2" t="s">
        <v>8</v>
      </c>
      <c r="C412" s="2" t="s">
        <v>7</v>
      </c>
      <c r="D412">
        <v>33</v>
      </c>
    </row>
    <row r="413" spans="1:4" x14ac:dyDescent="0.25">
      <c r="A413" s="1">
        <v>45703</v>
      </c>
      <c r="B413" s="2" t="s">
        <v>9</v>
      </c>
      <c r="C413" s="2" t="s">
        <v>5</v>
      </c>
      <c r="D413">
        <v>27</v>
      </c>
    </row>
    <row r="414" spans="1:4" x14ac:dyDescent="0.25">
      <c r="A414" s="1">
        <v>45703</v>
      </c>
      <c r="B414" s="2" t="s">
        <v>9</v>
      </c>
      <c r="C414" s="2" t="s">
        <v>6</v>
      </c>
      <c r="D414">
        <v>11</v>
      </c>
    </row>
    <row r="415" spans="1:4" x14ac:dyDescent="0.25">
      <c r="A415" s="1">
        <v>45703</v>
      </c>
      <c r="B415" s="2" t="s">
        <v>9</v>
      </c>
      <c r="C415" s="2" t="s">
        <v>7</v>
      </c>
      <c r="D415">
        <v>7</v>
      </c>
    </row>
    <row r="416" spans="1:4" x14ac:dyDescent="0.25">
      <c r="A416" s="1">
        <v>45704</v>
      </c>
      <c r="B416" s="2" t="s">
        <v>4</v>
      </c>
      <c r="C416" s="2" t="s">
        <v>5</v>
      </c>
      <c r="D416">
        <v>31</v>
      </c>
    </row>
    <row r="417" spans="1:4" x14ac:dyDescent="0.25">
      <c r="A417" s="1">
        <v>45704</v>
      </c>
      <c r="B417" s="2" t="s">
        <v>4</v>
      </c>
      <c r="C417" s="2" t="s">
        <v>6</v>
      </c>
      <c r="D417">
        <v>40</v>
      </c>
    </row>
    <row r="418" spans="1:4" x14ac:dyDescent="0.25">
      <c r="A418" s="1">
        <v>45704</v>
      </c>
      <c r="B418" s="2" t="s">
        <v>4</v>
      </c>
      <c r="C418" s="2" t="s">
        <v>7</v>
      </c>
      <c r="D418">
        <v>31</v>
      </c>
    </row>
    <row r="419" spans="1:4" x14ac:dyDescent="0.25">
      <c r="A419" s="1">
        <v>45704</v>
      </c>
      <c r="B419" s="2" t="s">
        <v>8</v>
      </c>
      <c r="C419" s="2" t="s">
        <v>5</v>
      </c>
      <c r="D419">
        <v>14</v>
      </c>
    </row>
    <row r="420" spans="1:4" x14ac:dyDescent="0.25">
      <c r="A420" s="1">
        <v>45704</v>
      </c>
      <c r="B420" s="2" t="s">
        <v>8</v>
      </c>
      <c r="C420" s="2" t="s">
        <v>6</v>
      </c>
      <c r="D420">
        <v>39</v>
      </c>
    </row>
    <row r="421" spans="1:4" x14ac:dyDescent="0.25">
      <c r="A421" s="1">
        <v>45704</v>
      </c>
      <c r="B421" s="2" t="s">
        <v>8</v>
      </c>
      <c r="C421" s="2" t="s">
        <v>7</v>
      </c>
      <c r="D421">
        <v>22</v>
      </c>
    </row>
    <row r="422" spans="1:4" x14ac:dyDescent="0.25">
      <c r="A422" s="1">
        <v>45704</v>
      </c>
      <c r="B422" s="2" t="s">
        <v>9</v>
      </c>
      <c r="C422" s="2" t="s">
        <v>5</v>
      </c>
      <c r="D422">
        <v>32</v>
      </c>
    </row>
    <row r="423" spans="1:4" x14ac:dyDescent="0.25">
      <c r="A423" s="1">
        <v>45704</v>
      </c>
      <c r="B423" s="2" t="s">
        <v>9</v>
      </c>
      <c r="C423" s="2" t="s">
        <v>6</v>
      </c>
      <c r="D423">
        <v>36</v>
      </c>
    </row>
    <row r="424" spans="1:4" x14ac:dyDescent="0.25">
      <c r="A424" s="1">
        <v>45704</v>
      </c>
      <c r="B424" s="2" t="s">
        <v>9</v>
      </c>
      <c r="C424" s="2" t="s">
        <v>7</v>
      </c>
      <c r="D424">
        <v>25</v>
      </c>
    </row>
    <row r="425" spans="1:4" x14ac:dyDescent="0.25">
      <c r="A425" s="1">
        <v>45705</v>
      </c>
      <c r="B425" s="2" t="s">
        <v>4</v>
      </c>
      <c r="C425" s="2" t="s">
        <v>5</v>
      </c>
      <c r="D425">
        <v>19</v>
      </c>
    </row>
    <row r="426" spans="1:4" x14ac:dyDescent="0.25">
      <c r="A426" s="1">
        <v>45705</v>
      </c>
      <c r="B426" s="2" t="s">
        <v>4</v>
      </c>
      <c r="C426" s="2" t="s">
        <v>6</v>
      </c>
      <c r="D426">
        <v>26</v>
      </c>
    </row>
    <row r="427" spans="1:4" x14ac:dyDescent="0.25">
      <c r="A427" s="1">
        <v>45705</v>
      </c>
      <c r="B427" s="2" t="s">
        <v>4</v>
      </c>
      <c r="C427" s="2" t="s">
        <v>7</v>
      </c>
      <c r="D427">
        <v>20</v>
      </c>
    </row>
    <row r="428" spans="1:4" x14ac:dyDescent="0.25">
      <c r="A428" s="1">
        <v>45705</v>
      </c>
      <c r="B428" s="2" t="s">
        <v>8</v>
      </c>
      <c r="C428" s="2" t="s">
        <v>5</v>
      </c>
      <c r="D428">
        <v>6</v>
      </c>
    </row>
    <row r="429" spans="1:4" x14ac:dyDescent="0.25">
      <c r="A429" s="1">
        <v>45705</v>
      </c>
      <c r="B429" s="2" t="s">
        <v>8</v>
      </c>
      <c r="C429" s="2" t="s">
        <v>6</v>
      </c>
      <c r="D429">
        <v>8</v>
      </c>
    </row>
    <row r="430" spans="1:4" x14ac:dyDescent="0.25">
      <c r="A430" s="1">
        <v>45705</v>
      </c>
      <c r="B430" s="2" t="s">
        <v>8</v>
      </c>
      <c r="C430" s="2" t="s">
        <v>7</v>
      </c>
      <c r="D430">
        <v>27</v>
      </c>
    </row>
    <row r="431" spans="1:4" x14ac:dyDescent="0.25">
      <c r="A431" s="1">
        <v>45705</v>
      </c>
      <c r="B431" s="2" t="s">
        <v>9</v>
      </c>
      <c r="C431" s="2" t="s">
        <v>5</v>
      </c>
      <c r="D431">
        <v>22</v>
      </c>
    </row>
    <row r="432" spans="1:4" x14ac:dyDescent="0.25">
      <c r="A432" s="1">
        <v>45705</v>
      </c>
      <c r="B432" s="2" t="s">
        <v>9</v>
      </c>
      <c r="C432" s="2" t="s">
        <v>6</v>
      </c>
      <c r="D432">
        <v>18</v>
      </c>
    </row>
    <row r="433" spans="1:4" x14ac:dyDescent="0.25">
      <c r="A433" s="1">
        <v>45705</v>
      </c>
      <c r="B433" s="2" t="s">
        <v>9</v>
      </c>
      <c r="C433" s="2" t="s">
        <v>7</v>
      </c>
      <c r="D433">
        <v>18</v>
      </c>
    </row>
    <row r="434" spans="1:4" x14ac:dyDescent="0.25">
      <c r="A434" s="1">
        <v>45706</v>
      </c>
      <c r="B434" s="2" t="s">
        <v>4</v>
      </c>
      <c r="C434" s="2" t="s">
        <v>5</v>
      </c>
      <c r="D434">
        <v>18</v>
      </c>
    </row>
    <row r="435" spans="1:4" x14ac:dyDescent="0.25">
      <c r="A435" s="1">
        <v>45706</v>
      </c>
      <c r="B435" s="2" t="s">
        <v>4</v>
      </c>
      <c r="C435" s="2" t="s">
        <v>6</v>
      </c>
      <c r="D435">
        <v>20</v>
      </c>
    </row>
    <row r="436" spans="1:4" x14ac:dyDescent="0.25">
      <c r="A436" s="1">
        <v>45706</v>
      </c>
      <c r="B436" s="2" t="s">
        <v>4</v>
      </c>
      <c r="C436" s="2" t="s">
        <v>7</v>
      </c>
      <c r="D436">
        <v>26</v>
      </c>
    </row>
    <row r="437" spans="1:4" x14ac:dyDescent="0.25">
      <c r="A437" s="1">
        <v>45706</v>
      </c>
      <c r="B437" s="2" t="s">
        <v>8</v>
      </c>
      <c r="C437" s="2" t="s">
        <v>5</v>
      </c>
      <c r="D437">
        <v>32</v>
      </c>
    </row>
    <row r="438" spans="1:4" x14ac:dyDescent="0.25">
      <c r="A438" s="1">
        <v>45706</v>
      </c>
      <c r="B438" s="2" t="s">
        <v>8</v>
      </c>
      <c r="C438" s="2" t="s">
        <v>6</v>
      </c>
      <c r="D438">
        <v>20</v>
      </c>
    </row>
    <row r="439" spans="1:4" x14ac:dyDescent="0.25">
      <c r="A439" s="1">
        <v>45706</v>
      </c>
      <c r="B439" s="2" t="s">
        <v>8</v>
      </c>
      <c r="C439" s="2" t="s">
        <v>7</v>
      </c>
      <c r="D439">
        <v>24</v>
      </c>
    </row>
    <row r="440" spans="1:4" x14ac:dyDescent="0.25">
      <c r="A440" s="1">
        <v>45706</v>
      </c>
      <c r="B440" s="2" t="s">
        <v>9</v>
      </c>
      <c r="C440" s="2" t="s">
        <v>5</v>
      </c>
      <c r="D440">
        <v>9</v>
      </c>
    </row>
    <row r="441" spans="1:4" x14ac:dyDescent="0.25">
      <c r="A441" s="1">
        <v>45706</v>
      </c>
      <c r="B441" s="2" t="s">
        <v>9</v>
      </c>
      <c r="C441" s="2" t="s">
        <v>6</v>
      </c>
      <c r="D441">
        <v>32</v>
      </c>
    </row>
    <row r="442" spans="1:4" x14ac:dyDescent="0.25">
      <c r="A442" s="1">
        <v>45706</v>
      </c>
      <c r="B442" s="2" t="s">
        <v>9</v>
      </c>
      <c r="C442" s="2" t="s">
        <v>7</v>
      </c>
      <c r="D442">
        <v>33</v>
      </c>
    </row>
    <row r="443" spans="1:4" x14ac:dyDescent="0.25">
      <c r="A443" s="1">
        <v>45707</v>
      </c>
      <c r="B443" s="2" t="s">
        <v>4</v>
      </c>
      <c r="C443" s="2" t="s">
        <v>5</v>
      </c>
      <c r="D443">
        <v>16</v>
      </c>
    </row>
    <row r="444" spans="1:4" x14ac:dyDescent="0.25">
      <c r="A444" s="1">
        <v>45707</v>
      </c>
      <c r="B444" s="2" t="s">
        <v>4</v>
      </c>
      <c r="C444" s="2" t="s">
        <v>6</v>
      </c>
      <c r="D444">
        <v>19</v>
      </c>
    </row>
    <row r="445" spans="1:4" x14ac:dyDescent="0.25">
      <c r="A445" s="1">
        <v>45707</v>
      </c>
      <c r="B445" s="2" t="s">
        <v>4</v>
      </c>
      <c r="C445" s="2" t="s">
        <v>7</v>
      </c>
      <c r="D445">
        <v>20</v>
      </c>
    </row>
    <row r="446" spans="1:4" x14ac:dyDescent="0.25">
      <c r="A446" s="1">
        <v>45707</v>
      </c>
      <c r="B446" s="2" t="s">
        <v>8</v>
      </c>
      <c r="C446" s="2" t="s">
        <v>5</v>
      </c>
      <c r="D446">
        <v>12</v>
      </c>
    </row>
    <row r="447" spans="1:4" x14ac:dyDescent="0.25">
      <c r="A447" s="1">
        <v>45707</v>
      </c>
      <c r="B447" s="2" t="s">
        <v>8</v>
      </c>
      <c r="C447" s="2" t="s">
        <v>6</v>
      </c>
      <c r="D447">
        <v>12</v>
      </c>
    </row>
    <row r="448" spans="1:4" x14ac:dyDescent="0.25">
      <c r="A448" s="1">
        <v>45707</v>
      </c>
      <c r="B448" s="2" t="s">
        <v>8</v>
      </c>
      <c r="C448" s="2" t="s">
        <v>7</v>
      </c>
      <c r="D448">
        <v>13</v>
      </c>
    </row>
    <row r="449" spans="1:4" x14ac:dyDescent="0.25">
      <c r="A449" s="1">
        <v>45707</v>
      </c>
      <c r="B449" s="2" t="s">
        <v>9</v>
      </c>
      <c r="C449" s="2" t="s">
        <v>5</v>
      </c>
      <c r="D449">
        <v>24</v>
      </c>
    </row>
    <row r="450" spans="1:4" x14ac:dyDescent="0.25">
      <c r="A450" s="1">
        <v>45707</v>
      </c>
      <c r="B450" s="2" t="s">
        <v>9</v>
      </c>
      <c r="C450" s="2" t="s">
        <v>6</v>
      </c>
      <c r="D450">
        <v>12</v>
      </c>
    </row>
    <row r="451" spans="1:4" x14ac:dyDescent="0.25">
      <c r="A451" s="1">
        <v>45707</v>
      </c>
      <c r="B451" s="2" t="s">
        <v>9</v>
      </c>
      <c r="C451" s="2" t="s">
        <v>7</v>
      </c>
      <c r="D451">
        <v>25</v>
      </c>
    </row>
    <row r="452" spans="1:4" x14ac:dyDescent="0.25">
      <c r="A452" s="1">
        <v>45708</v>
      </c>
      <c r="B452" s="2" t="s">
        <v>4</v>
      </c>
      <c r="C452" s="2" t="s">
        <v>5</v>
      </c>
      <c r="D452">
        <v>26</v>
      </c>
    </row>
    <row r="453" spans="1:4" x14ac:dyDescent="0.25">
      <c r="A453" s="1">
        <v>45708</v>
      </c>
      <c r="B453" s="2" t="s">
        <v>4</v>
      </c>
      <c r="C453" s="2" t="s">
        <v>6</v>
      </c>
      <c r="D453">
        <v>40</v>
      </c>
    </row>
    <row r="454" spans="1:4" x14ac:dyDescent="0.25">
      <c r="A454" s="1">
        <v>45708</v>
      </c>
      <c r="B454" s="2" t="s">
        <v>4</v>
      </c>
      <c r="C454" s="2" t="s">
        <v>7</v>
      </c>
      <c r="D454">
        <v>12</v>
      </c>
    </row>
    <row r="455" spans="1:4" x14ac:dyDescent="0.25">
      <c r="A455" s="1">
        <v>45708</v>
      </c>
      <c r="B455" s="2" t="s">
        <v>8</v>
      </c>
      <c r="C455" s="2" t="s">
        <v>5</v>
      </c>
      <c r="D455">
        <v>15</v>
      </c>
    </row>
    <row r="456" spans="1:4" x14ac:dyDescent="0.25">
      <c r="A456" s="1">
        <v>45708</v>
      </c>
      <c r="B456" s="2" t="s">
        <v>8</v>
      </c>
      <c r="C456" s="2" t="s">
        <v>6</v>
      </c>
      <c r="D456">
        <v>29</v>
      </c>
    </row>
    <row r="457" spans="1:4" x14ac:dyDescent="0.25">
      <c r="A457" s="1">
        <v>45708</v>
      </c>
      <c r="B457" s="2" t="s">
        <v>8</v>
      </c>
      <c r="C457" s="2" t="s">
        <v>7</v>
      </c>
      <c r="D457">
        <v>28</v>
      </c>
    </row>
    <row r="458" spans="1:4" x14ac:dyDescent="0.25">
      <c r="A458" s="1">
        <v>45708</v>
      </c>
      <c r="B458" s="2" t="s">
        <v>9</v>
      </c>
      <c r="C458" s="2" t="s">
        <v>5</v>
      </c>
      <c r="D458">
        <v>6</v>
      </c>
    </row>
    <row r="459" spans="1:4" x14ac:dyDescent="0.25">
      <c r="A459" s="1">
        <v>45708</v>
      </c>
      <c r="B459" s="2" t="s">
        <v>9</v>
      </c>
      <c r="C459" s="2" t="s">
        <v>6</v>
      </c>
      <c r="D459">
        <v>12</v>
      </c>
    </row>
    <row r="460" spans="1:4" x14ac:dyDescent="0.25">
      <c r="A460" s="1">
        <v>45708</v>
      </c>
      <c r="B460" s="2" t="s">
        <v>9</v>
      </c>
      <c r="C460" s="2" t="s">
        <v>7</v>
      </c>
      <c r="D460">
        <v>16</v>
      </c>
    </row>
    <row r="461" spans="1:4" x14ac:dyDescent="0.25">
      <c r="A461" s="1">
        <v>45709</v>
      </c>
      <c r="B461" s="2" t="s">
        <v>4</v>
      </c>
      <c r="C461" s="2" t="s">
        <v>5</v>
      </c>
      <c r="D461">
        <v>25</v>
      </c>
    </row>
    <row r="462" spans="1:4" x14ac:dyDescent="0.25">
      <c r="A462" s="1">
        <v>45709</v>
      </c>
      <c r="B462" s="2" t="s">
        <v>4</v>
      </c>
      <c r="C462" s="2" t="s">
        <v>6</v>
      </c>
      <c r="D462">
        <v>35</v>
      </c>
    </row>
    <row r="463" spans="1:4" x14ac:dyDescent="0.25">
      <c r="A463" s="1">
        <v>45709</v>
      </c>
      <c r="B463" s="2" t="s">
        <v>4</v>
      </c>
      <c r="C463" s="2" t="s">
        <v>7</v>
      </c>
      <c r="D463">
        <v>9</v>
      </c>
    </row>
    <row r="464" spans="1:4" x14ac:dyDescent="0.25">
      <c r="A464" s="1">
        <v>45709</v>
      </c>
      <c r="B464" s="2" t="s">
        <v>8</v>
      </c>
      <c r="C464" s="2" t="s">
        <v>5</v>
      </c>
      <c r="D464">
        <v>24</v>
      </c>
    </row>
    <row r="465" spans="1:4" x14ac:dyDescent="0.25">
      <c r="A465" s="1">
        <v>45709</v>
      </c>
      <c r="B465" s="2" t="s">
        <v>8</v>
      </c>
      <c r="C465" s="2" t="s">
        <v>6</v>
      </c>
      <c r="D465">
        <v>12</v>
      </c>
    </row>
    <row r="466" spans="1:4" x14ac:dyDescent="0.25">
      <c r="A466" s="1">
        <v>45709</v>
      </c>
      <c r="B466" s="2" t="s">
        <v>8</v>
      </c>
      <c r="C466" s="2" t="s">
        <v>7</v>
      </c>
      <c r="D466">
        <v>7</v>
      </c>
    </row>
    <row r="467" spans="1:4" x14ac:dyDescent="0.25">
      <c r="A467" s="1">
        <v>45709</v>
      </c>
      <c r="B467" s="2" t="s">
        <v>9</v>
      </c>
      <c r="C467" s="2" t="s">
        <v>5</v>
      </c>
      <c r="D467">
        <v>26</v>
      </c>
    </row>
    <row r="468" spans="1:4" x14ac:dyDescent="0.25">
      <c r="A468" s="1">
        <v>45709</v>
      </c>
      <c r="B468" s="2" t="s">
        <v>9</v>
      </c>
      <c r="C468" s="2" t="s">
        <v>6</v>
      </c>
      <c r="D468">
        <v>8</v>
      </c>
    </row>
    <row r="469" spans="1:4" x14ac:dyDescent="0.25">
      <c r="A469" s="1">
        <v>45709</v>
      </c>
      <c r="B469" s="2" t="s">
        <v>9</v>
      </c>
      <c r="C469" s="2" t="s">
        <v>7</v>
      </c>
      <c r="D469">
        <v>8</v>
      </c>
    </row>
    <row r="470" spans="1:4" x14ac:dyDescent="0.25">
      <c r="A470" s="1">
        <v>45710</v>
      </c>
      <c r="B470" s="2" t="s">
        <v>4</v>
      </c>
      <c r="C470" s="2" t="s">
        <v>5</v>
      </c>
      <c r="D470">
        <v>27</v>
      </c>
    </row>
    <row r="471" spans="1:4" x14ac:dyDescent="0.25">
      <c r="A471" s="1">
        <v>45710</v>
      </c>
      <c r="B471" s="2" t="s">
        <v>4</v>
      </c>
      <c r="C471" s="2" t="s">
        <v>6</v>
      </c>
      <c r="D471">
        <v>18</v>
      </c>
    </row>
    <row r="472" spans="1:4" x14ac:dyDescent="0.25">
      <c r="A472" s="1">
        <v>45710</v>
      </c>
      <c r="B472" s="2" t="s">
        <v>4</v>
      </c>
      <c r="C472" s="2" t="s">
        <v>7</v>
      </c>
      <c r="D472">
        <v>15</v>
      </c>
    </row>
    <row r="473" spans="1:4" x14ac:dyDescent="0.25">
      <c r="A473" s="1">
        <v>45710</v>
      </c>
      <c r="B473" s="2" t="s">
        <v>8</v>
      </c>
      <c r="C473" s="2" t="s">
        <v>5</v>
      </c>
      <c r="D473">
        <v>27</v>
      </c>
    </row>
    <row r="474" spans="1:4" x14ac:dyDescent="0.25">
      <c r="A474" s="1">
        <v>45710</v>
      </c>
      <c r="B474" s="2" t="s">
        <v>8</v>
      </c>
      <c r="C474" s="2" t="s">
        <v>6</v>
      </c>
      <c r="D474">
        <v>36</v>
      </c>
    </row>
    <row r="475" spans="1:4" x14ac:dyDescent="0.25">
      <c r="A475" s="1">
        <v>45710</v>
      </c>
      <c r="B475" s="2" t="s">
        <v>8</v>
      </c>
      <c r="C475" s="2" t="s">
        <v>7</v>
      </c>
      <c r="D475">
        <v>15</v>
      </c>
    </row>
    <row r="476" spans="1:4" x14ac:dyDescent="0.25">
      <c r="A476" s="1">
        <v>45710</v>
      </c>
      <c r="B476" s="2" t="s">
        <v>9</v>
      </c>
      <c r="C476" s="2" t="s">
        <v>5</v>
      </c>
      <c r="D476">
        <v>36</v>
      </c>
    </row>
    <row r="477" spans="1:4" x14ac:dyDescent="0.25">
      <c r="A477" s="1">
        <v>45710</v>
      </c>
      <c r="B477" s="2" t="s">
        <v>9</v>
      </c>
      <c r="C477" s="2" t="s">
        <v>6</v>
      </c>
      <c r="D477">
        <v>32</v>
      </c>
    </row>
    <row r="478" spans="1:4" x14ac:dyDescent="0.25">
      <c r="A478" s="1">
        <v>45710</v>
      </c>
      <c r="B478" s="2" t="s">
        <v>9</v>
      </c>
      <c r="C478" s="2" t="s">
        <v>7</v>
      </c>
      <c r="D478">
        <v>24</v>
      </c>
    </row>
    <row r="479" spans="1:4" x14ac:dyDescent="0.25">
      <c r="A479" s="1">
        <v>45711</v>
      </c>
      <c r="B479" s="2" t="s">
        <v>4</v>
      </c>
      <c r="C479" s="2" t="s">
        <v>5</v>
      </c>
      <c r="D479">
        <v>24</v>
      </c>
    </row>
    <row r="480" spans="1:4" x14ac:dyDescent="0.25">
      <c r="A480" s="1">
        <v>45711</v>
      </c>
      <c r="B480" s="2" t="s">
        <v>4</v>
      </c>
      <c r="C480" s="2" t="s">
        <v>6</v>
      </c>
      <c r="D480">
        <v>9</v>
      </c>
    </row>
    <row r="481" spans="1:4" x14ac:dyDescent="0.25">
      <c r="A481" s="1">
        <v>45711</v>
      </c>
      <c r="B481" s="2" t="s">
        <v>4</v>
      </c>
      <c r="C481" s="2" t="s">
        <v>7</v>
      </c>
      <c r="D481">
        <v>25</v>
      </c>
    </row>
    <row r="482" spans="1:4" x14ac:dyDescent="0.25">
      <c r="A482" s="1">
        <v>45711</v>
      </c>
      <c r="B482" s="2" t="s">
        <v>8</v>
      </c>
      <c r="C482" s="2" t="s">
        <v>5</v>
      </c>
      <c r="D482">
        <v>28</v>
      </c>
    </row>
    <row r="483" spans="1:4" x14ac:dyDescent="0.25">
      <c r="A483" s="1">
        <v>45711</v>
      </c>
      <c r="B483" s="2" t="s">
        <v>8</v>
      </c>
      <c r="C483" s="2" t="s">
        <v>6</v>
      </c>
      <c r="D483">
        <v>28</v>
      </c>
    </row>
    <row r="484" spans="1:4" x14ac:dyDescent="0.25">
      <c r="A484" s="1">
        <v>45711</v>
      </c>
      <c r="B484" s="2" t="s">
        <v>8</v>
      </c>
      <c r="C484" s="2" t="s">
        <v>7</v>
      </c>
      <c r="D484">
        <v>27</v>
      </c>
    </row>
    <row r="485" spans="1:4" x14ac:dyDescent="0.25">
      <c r="A485" s="1">
        <v>45711</v>
      </c>
      <c r="B485" s="2" t="s">
        <v>9</v>
      </c>
      <c r="C485" s="2" t="s">
        <v>5</v>
      </c>
      <c r="D485">
        <v>30</v>
      </c>
    </row>
    <row r="486" spans="1:4" x14ac:dyDescent="0.25">
      <c r="A486" s="1">
        <v>45711</v>
      </c>
      <c r="B486" s="2" t="s">
        <v>9</v>
      </c>
      <c r="C486" s="2" t="s">
        <v>6</v>
      </c>
      <c r="D486">
        <v>23</v>
      </c>
    </row>
    <row r="487" spans="1:4" x14ac:dyDescent="0.25">
      <c r="A487" s="1">
        <v>45711</v>
      </c>
      <c r="B487" s="2" t="s">
        <v>9</v>
      </c>
      <c r="C487" s="2" t="s">
        <v>7</v>
      </c>
      <c r="D487">
        <v>7</v>
      </c>
    </row>
    <row r="488" spans="1:4" x14ac:dyDescent="0.25">
      <c r="A488" s="1">
        <v>45712</v>
      </c>
      <c r="B488" s="2" t="s">
        <v>4</v>
      </c>
      <c r="C488" s="2" t="s">
        <v>5</v>
      </c>
      <c r="D488">
        <v>30</v>
      </c>
    </row>
    <row r="489" spans="1:4" x14ac:dyDescent="0.25">
      <c r="A489" s="1">
        <v>45712</v>
      </c>
      <c r="B489" s="2" t="s">
        <v>4</v>
      </c>
      <c r="C489" s="2" t="s">
        <v>6</v>
      </c>
      <c r="D489">
        <v>34</v>
      </c>
    </row>
    <row r="490" spans="1:4" x14ac:dyDescent="0.25">
      <c r="A490" s="1">
        <v>45712</v>
      </c>
      <c r="B490" s="2" t="s">
        <v>4</v>
      </c>
      <c r="C490" s="2" t="s">
        <v>7</v>
      </c>
      <c r="D490">
        <v>7</v>
      </c>
    </row>
    <row r="491" spans="1:4" x14ac:dyDescent="0.25">
      <c r="A491" s="1">
        <v>45712</v>
      </c>
      <c r="B491" s="2" t="s">
        <v>8</v>
      </c>
      <c r="C491" s="2" t="s">
        <v>5</v>
      </c>
      <c r="D491">
        <v>22</v>
      </c>
    </row>
    <row r="492" spans="1:4" x14ac:dyDescent="0.25">
      <c r="A492" s="1">
        <v>45712</v>
      </c>
      <c r="B492" s="2" t="s">
        <v>8</v>
      </c>
      <c r="C492" s="2" t="s">
        <v>6</v>
      </c>
      <c r="D492">
        <v>8</v>
      </c>
    </row>
    <row r="493" spans="1:4" x14ac:dyDescent="0.25">
      <c r="A493" s="1">
        <v>45712</v>
      </c>
      <c r="B493" s="2" t="s">
        <v>8</v>
      </c>
      <c r="C493" s="2" t="s">
        <v>7</v>
      </c>
      <c r="D493">
        <v>38</v>
      </c>
    </row>
    <row r="494" spans="1:4" x14ac:dyDescent="0.25">
      <c r="A494" s="1">
        <v>45712</v>
      </c>
      <c r="B494" s="2" t="s">
        <v>9</v>
      </c>
      <c r="C494" s="2" t="s">
        <v>5</v>
      </c>
      <c r="D494">
        <v>40</v>
      </c>
    </row>
    <row r="495" spans="1:4" x14ac:dyDescent="0.25">
      <c r="A495" s="1">
        <v>45712</v>
      </c>
      <c r="B495" s="2" t="s">
        <v>9</v>
      </c>
      <c r="C495" s="2" t="s">
        <v>6</v>
      </c>
      <c r="D495">
        <v>16</v>
      </c>
    </row>
    <row r="496" spans="1:4" x14ac:dyDescent="0.25">
      <c r="A496" s="1">
        <v>45712</v>
      </c>
      <c r="B496" s="2" t="s">
        <v>9</v>
      </c>
      <c r="C496" s="2" t="s">
        <v>7</v>
      </c>
      <c r="D496">
        <v>29</v>
      </c>
    </row>
    <row r="497" spans="1:4" x14ac:dyDescent="0.25">
      <c r="A497" s="1">
        <v>45713</v>
      </c>
      <c r="B497" s="2" t="s">
        <v>4</v>
      </c>
      <c r="C497" s="2" t="s">
        <v>5</v>
      </c>
      <c r="D497">
        <v>16</v>
      </c>
    </row>
    <row r="498" spans="1:4" x14ac:dyDescent="0.25">
      <c r="A498" s="1">
        <v>45713</v>
      </c>
      <c r="B498" s="2" t="s">
        <v>4</v>
      </c>
      <c r="C498" s="2" t="s">
        <v>6</v>
      </c>
      <c r="D498">
        <v>40</v>
      </c>
    </row>
    <row r="499" spans="1:4" x14ac:dyDescent="0.25">
      <c r="A499" s="1">
        <v>45713</v>
      </c>
      <c r="B499" s="2" t="s">
        <v>4</v>
      </c>
      <c r="C499" s="2" t="s">
        <v>7</v>
      </c>
      <c r="D499">
        <v>7</v>
      </c>
    </row>
    <row r="500" spans="1:4" x14ac:dyDescent="0.25">
      <c r="A500" s="1">
        <v>45713</v>
      </c>
      <c r="B500" s="2" t="s">
        <v>8</v>
      </c>
      <c r="C500" s="2" t="s">
        <v>5</v>
      </c>
      <c r="D500">
        <v>22</v>
      </c>
    </row>
    <row r="501" spans="1:4" x14ac:dyDescent="0.25">
      <c r="A501" s="1">
        <v>45713</v>
      </c>
      <c r="B501" s="2" t="s">
        <v>8</v>
      </c>
      <c r="C501" s="2" t="s">
        <v>6</v>
      </c>
      <c r="D501">
        <v>37</v>
      </c>
    </row>
    <row r="502" spans="1:4" x14ac:dyDescent="0.25">
      <c r="A502" s="1">
        <v>45713</v>
      </c>
      <c r="B502" s="2" t="s">
        <v>8</v>
      </c>
      <c r="C502" s="2" t="s">
        <v>7</v>
      </c>
      <c r="D502">
        <v>7</v>
      </c>
    </row>
    <row r="503" spans="1:4" x14ac:dyDescent="0.25">
      <c r="A503" s="1">
        <v>45713</v>
      </c>
      <c r="B503" s="2" t="s">
        <v>9</v>
      </c>
      <c r="C503" s="2" t="s">
        <v>5</v>
      </c>
      <c r="D503">
        <v>20</v>
      </c>
    </row>
    <row r="504" spans="1:4" x14ac:dyDescent="0.25">
      <c r="A504" s="1">
        <v>45713</v>
      </c>
      <c r="B504" s="2" t="s">
        <v>9</v>
      </c>
      <c r="C504" s="2" t="s">
        <v>6</v>
      </c>
      <c r="D504">
        <v>40</v>
      </c>
    </row>
    <row r="505" spans="1:4" x14ac:dyDescent="0.25">
      <c r="A505" s="1">
        <v>45713</v>
      </c>
      <c r="B505" s="2" t="s">
        <v>9</v>
      </c>
      <c r="C505" s="2" t="s">
        <v>7</v>
      </c>
      <c r="D505">
        <v>34</v>
      </c>
    </row>
    <row r="506" spans="1:4" x14ac:dyDescent="0.25">
      <c r="A506" s="1">
        <v>45714</v>
      </c>
      <c r="B506" s="2" t="s">
        <v>4</v>
      </c>
      <c r="C506" s="2" t="s">
        <v>5</v>
      </c>
      <c r="D506">
        <v>37</v>
      </c>
    </row>
    <row r="507" spans="1:4" x14ac:dyDescent="0.25">
      <c r="A507" s="1">
        <v>45714</v>
      </c>
      <c r="B507" s="2" t="s">
        <v>4</v>
      </c>
      <c r="C507" s="2" t="s">
        <v>6</v>
      </c>
      <c r="D507">
        <v>20</v>
      </c>
    </row>
    <row r="508" spans="1:4" x14ac:dyDescent="0.25">
      <c r="A508" s="1">
        <v>45714</v>
      </c>
      <c r="B508" s="2" t="s">
        <v>4</v>
      </c>
      <c r="C508" s="2" t="s">
        <v>7</v>
      </c>
      <c r="D508">
        <v>36</v>
      </c>
    </row>
    <row r="509" spans="1:4" x14ac:dyDescent="0.25">
      <c r="A509" s="1">
        <v>45714</v>
      </c>
      <c r="B509" s="2" t="s">
        <v>8</v>
      </c>
      <c r="C509" s="2" t="s">
        <v>5</v>
      </c>
      <c r="D509">
        <v>12</v>
      </c>
    </row>
    <row r="510" spans="1:4" x14ac:dyDescent="0.25">
      <c r="A510" s="1">
        <v>45714</v>
      </c>
      <c r="B510" s="2" t="s">
        <v>8</v>
      </c>
      <c r="C510" s="2" t="s">
        <v>6</v>
      </c>
      <c r="D510">
        <v>16</v>
      </c>
    </row>
    <row r="511" spans="1:4" x14ac:dyDescent="0.25">
      <c r="A511" s="1">
        <v>45714</v>
      </c>
      <c r="B511" s="2" t="s">
        <v>8</v>
      </c>
      <c r="C511" s="2" t="s">
        <v>7</v>
      </c>
      <c r="D511">
        <v>40</v>
      </c>
    </row>
    <row r="512" spans="1:4" x14ac:dyDescent="0.25">
      <c r="A512" s="1">
        <v>45714</v>
      </c>
      <c r="B512" s="2" t="s">
        <v>9</v>
      </c>
      <c r="C512" s="2" t="s">
        <v>5</v>
      </c>
      <c r="D512">
        <v>17</v>
      </c>
    </row>
    <row r="513" spans="1:4" x14ac:dyDescent="0.25">
      <c r="A513" s="1">
        <v>45714</v>
      </c>
      <c r="B513" s="2" t="s">
        <v>9</v>
      </c>
      <c r="C513" s="2" t="s">
        <v>6</v>
      </c>
      <c r="D513">
        <v>36</v>
      </c>
    </row>
    <row r="514" spans="1:4" x14ac:dyDescent="0.25">
      <c r="A514" s="1">
        <v>45714</v>
      </c>
      <c r="B514" s="2" t="s">
        <v>9</v>
      </c>
      <c r="C514" s="2" t="s">
        <v>7</v>
      </c>
      <c r="D514">
        <v>38</v>
      </c>
    </row>
    <row r="515" spans="1:4" x14ac:dyDescent="0.25">
      <c r="A515" s="1">
        <v>45715</v>
      </c>
      <c r="B515" s="2" t="s">
        <v>4</v>
      </c>
      <c r="C515" s="2" t="s">
        <v>5</v>
      </c>
      <c r="D515">
        <v>16</v>
      </c>
    </row>
    <row r="516" spans="1:4" x14ac:dyDescent="0.25">
      <c r="A516" s="1">
        <v>45715</v>
      </c>
      <c r="B516" s="2" t="s">
        <v>4</v>
      </c>
      <c r="C516" s="2" t="s">
        <v>6</v>
      </c>
      <c r="D516">
        <v>25</v>
      </c>
    </row>
    <row r="517" spans="1:4" x14ac:dyDescent="0.25">
      <c r="A517" s="1">
        <v>45715</v>
      </c>
      <c r="B517" s="2" t="s">
        <v>4</v>
      </c>
      <c r="C517" s="2" t="s">
        <v>7</v>
      </c>
      <c r="D517">
        <v>8</v>
      </c>
    </row>
    <row r="518" spans="1:4" x14ac:dyDescent="0.25">
      <c r="A518" s="1">
        <v>45715</v>
      </c>
      <c r="B518" s="2" t="s">
        <v>8</v>
      </c>
      <c r="C518" s="2" t="s">
        <v>5</v>
      </c>
      <c r="D518">
        <v>27</v>
      </c>
    </row>
    <row r="519" spans="1:4" x14ac:dyDescent="0.25">
      <c r="A519" s="1">
        <v>45715</v>
      </c>
      <c r="B519" s="2" t="s">
        <v>8</v>
      </c>
      <c r="C519" s="2" t="s">
        <v>6</v>
      </c>
      <c r="D519">
        <v>37</v>
      </c>
    </row>
    <row r="520" spans="1:4" x14ac:dyDescent="0.25">
      <c r="A520" s="1">
        <v>45715</v>
      </c>
      <c r="B520" s="2" t="s">
        <v>8</v>
      </c>
      <c r="C520" s="2" t="s">
        <v>7</v>
      </c>
      <c r="D520">
        <v>22</v>
      </c>
    </row>
    <row r="521" spans="1:4" x14ac:dyDescent="0.25">
      <c r="A521" s="1">
        <v>45715</v>
      </c>
      <c r="B521" s="2" t="s">
        <v>9</v>
      </c>
      <c r="C521" s="2" t="s">
        <v>5</v>
      </c>
      <c r="D521">
        <v>14</v>
      </c>
    </row>
    <row r="522" spans="1:4" x14ac:dyDescent="0.25">
      <c r="A522" s="1">
        <v>45715</v>
      </c>
      <c r="B522" s="2" t="s">
        <v>9</v>
      </c>
      <c r="C522" s="2" t="s">
        <v>6</v>
      </c>
      <c r="D522">
        <v>11</v>
      </c>
    </row>
    <row r="523" spans="1:4" x14ac:dyDescent="0.25">
      <c r="A523" s="1">
        <v>45715</v>
      </c>
      <c r="B523" s="2" t="s">
        <v>9</v>
      </c>
      <c r="C523" s="2" t="s">
        <v>7</v>
      </c>
      <c r="D523">
        <v>34</v>
      </c>
    </row>
    <row r="524" spans="1:4" x14ac:dyDescent="0.25">
      <c r="A524" s="1">
        <v>45716</v>
      </c>
      <c r="B524" s="2" t="s">
        <v>4</v>
      </c>
      <c r="C524" s="2" t="s">
        <v>5</v>
      </c>
      <c r="D524">
        <v>23</v>
      </c>
    </row>
    <row r="525" spans="1:4" x14ac:dyDescent="0.25">
      <c r="A525" s="1">
        <v>45716</v>
      </c>
      <c r="B525" s="2" t="s">
        <v>4</v>
      </c>
      <c r="C525" s="2" t="s">
        <v>6</v>
      </c>
      <c r="D525">
        <v>32</v>
      </c>
    </row>
    <row r="526" spans="1:4" x14ac:dyDescent="0.25">
      <c r="A526" s="1">
        <v>45716</v>
      </c>
      <c r="B526" s="2" t="s">
        <v>4</v>
      </c>
      <c r="C526" s="2" t="s">
        <v>7</v>
      </c>
      <c r="D526">
        <v>11</v>
      </c>
    </row>
    <row r="527" spans="1:4" x14ac:dyDescent="0.25">
      <c r="A527" s="1">
        <v>45716</v>
      </c>
      <c r="B527" s="2" t="s">
        <v>8</v>
      </c>
      <c r="C527" s="2" t="s">
        <v>5</v>
      </c>
      <c r="D527">
        <v>11</v>
      </c>
    </row>
    <row r="528" spans="1:4" x14ac:dyDescent="0.25">
      <c r="A528" s="1">
        <v>45716</v>
      </c>
      <c r="B528" s="2" t="s">
        <v>8</v>
      </c>
      <c r="C528" s="2" t="s">
        <v>6</v>
      </c>
      <c r="D528">
        <v>6</v>
      </c>
    </row>
    <row r="529" spans="1:4" x14ac:dyDescent="0.25">
      <c r="A529" s="1">
        <v>45716</v>
      </c>
      <c r="B529" s="2" t="s">
        <v>8</v>
      </c>
      <c r="C529" s="2" t="s">
        <v>7</v>
      </c>
      <c r="D529">
        <v>27</v>
      </c>
    </row>
    <row r="530" spans="1:4" x14ac:dyDescent="0.25">
      <c r="A530" s="1">
        <v>45716</v>
      </c>
      <c r="B530" s="2" t="s">
        <v>9</v>
      </c>
      <c r="C530" s="2" t="s">
        <v>5</v>
      </c>
      <c r="D530">
        <v>33</v>
      </c>
    </row>
    <row r="531" spans="1:4" x14ac:dyDescent="0.25">
      <c r="A531" s="1">
        <v>45716</v>
      </c>
      <c r="B531" s="2" t="s">
        <v>9</v>
      </c>
      <c r="C531" s="2" t="s">
        <v>6</v>
      </c>
      <c r="D531">
        <v>11</v>
      </c>
    </row>
    <row r="532" spans="1:4" x14ac:dyDescent="0.25">
      <c r="A532" s="1">
        <v>45716</v>
      </c>
      <c r="B532" s="2" t="s">
        <v>9</v>
      </c>
      <c r="C532" s="2" t="s">
        <v>7</v>
      </c>
      <c r="D532">
        <v>29</v>
      </c>
    </row>
    <row r="533" spans="1:4" x14ac:dyDescent="0.25">
      <c r="A533" s="1">
        <v>45717</v>
      </c>
      <c r="B533" s="2" t="s">
        <v>4</v>
      </c>
      <c r="C533" s="2" t="s">
        <v>5</v>
      </c>
      <c r="D533">
        <v>31</v>
      </c>
    </row>
    <row r="534" spans="1:4" x14ac:dyDescent="0.25">
      <c r="A534" s="1">
        <v>45717</v>
      </c>
      <c r="B534" s="2" t="s">
        <v>4</v>
      </c>
      <c r="C534" s="2" t="s">
        <v>6</v>
      </c>
      <c r="D534">
        <v>9</v>
      </c>
    </row>
    <row r="535" spans="1:4" x14ac:dyDescent="0.25">
      <c r="A535" s="1">
        <v>45717</v>
      </c>
      <c r="B535" s="2" t="s">
        <v>4</v>
      </c>
      <c r="C535" s="2" t="s">
        <v>7</v>
      </c>
      <c r="D535">
        <v>16</v>
      </c>
    </row>
    <row r="536" spans="1:4" x14ac:dyDescent="0.25">
      <c r="A536" s="1">
        <v>45717</v>
      </c>
      <c r="B536" s="2" t="s">
        <v>8</v>
      </c>
      <c r="C536" s="2" t="s">
        <v>5</v>
      </c>
      <c r="D536">
        <v>24</v>
      </c>
    </row>
    <row r="537" spans="1:4" x14ac:dyDescent="0.25">
      <c r="A537" s="1">
        <v>45717</v>
      </c>
      <c r="B537" s="2" t="s">
        <v>8</v>
      </c>
      <c r="C537" s="2" t="s">
        <v>6</v>
      </c>
      <c r="D537">
        <v>12</v>
      </c>
    </row>
    <row r="538" spans="1:4" x14ac:dyDescent="0.25">
      <c r="A538" s="1">
        <v>45717</v>
      </c>
      <c r="B538" s="2" t="s">
        <v>8</v>
      </c>
      <c r="C538" s="2" t="s">
        <v>7</v>
      </c>
      <c r="D538">
        <v>10</v>
      </c>
    </row>
    <row r="539" spans="1:4" x14ac:dyDescent="0.25">
      <c r="A539" s="1">
        <v>45717</v>
      </c>
      <c r="B539" s="2" t="s">
        <v>9</v>
      </c>
      <c r="C539" s="2" t="s">
        <v>5</v>
      </c>
      <c r="D539">
        <v>20</v>
      </c>
    </row>
    <row r="540" spans="1:4" x14ac:dyDescent="0.25">
      <c r="A540" s="1">
        <v>45717</v>
      </c>
      <c r="B540" s="2" t="s">
        <v>9</v>
      </c>
      <c r="C540" s="2" t="s">
        <v>6</v>
      </c>
      <c r="D540">
        <v>11</v>
      </c>
    </row>
    <row r="541" spans="1:4" x14ac:dyDescent="0.25">
      <c r="A541" s="1">
        <v>45717</v>
      </c>
      <c r="B541" s="2" t="s">
        <v>9</v>
      </c>
      <c r="C541" s="2" t="s">
        <v>7</v>
      </c>
      <c r="D541">
        <v>29</v>
      </c>
    </row>
    <row r="542" spans="1:4" x14ac:dyDescent="0.25">
      <c r="A542" s="1">
        <v>45718</v>
      </c>
      <c r="B542" s="2" t="s">
        <v>4</v>
      </c>
      <c r="C542" s="2" t="s">
        <v>5</v>
      </c>
      <c r="D542">
        <v>34</v>
      </c>
    </row>
    <row r="543" spans="1:4" x14ac:dyDescent="0.25">
      <c r="A543" s="1">
        <v>45718</v>
      </c>
      <c r="B543" s="2" t="s">
        <v>4</v>
      </c>
      <c r="C543" s="2" t="s">
        <v>6</v>
      </c>
      <c r="D543">
        <v>13</v>
      </c>
    </row>
    <row r="544" spans="1:4" x14ac:dyDescent="0.25">
      <c r="A544" s="1">
        <v>45718</v>
      </c>
      <c r="B544" s="2" t="s">
        <v>4</v>
      </c>
      <c r="C544" s="2" t="s">
        <v>7</v>
      </c>
      <c r="D544">
        <v>5</v>
      </c>
    </row>
    <row r="545" spans="1:4" x14ac:dyDescent="0.25">
      <c r="A545" s="1">
        <v>45718</v>
      </c>
      <c r="B545" s="2" t="s">
        <v>8</v>
      </c>
      <c r="C545" s="2" t="s">
        <v>5</v>
      </c>
      <c r="D545">
        <v>26</v>
      </c>
    </row>
    <row r="546" spans="1:4" x14ac:dyDescent="0.25">
      <c r="A546" s="1">
        <v>45718</v>
      </c>
      <c r="B546" s="2" t="s">
        <v>8</v>
      </c>
      <c r="C546" s="2" t="s">
        <v>6</v>
      </c>
      <c r="D546">
        <v>20</v>
      </c>
    </row>
    <row r="547" spans="1:4" x14ac:dyDescent="0.25">
      <c r="A547" s="1">
        <v>45718</v>
      </c>
      <c r="B547" s="2" t="s">
        <v>8</v>
      </c>
      <c r="C547" s="2" t="s">
        <v>7</v>
      </c>
      <c r="D547">
        <v>11</v>
      </c>
    </row>
    <row r="548" spans="1:4" x14ac:dyDescent="0.25">
      <c r="A548" s="1">
        <v>45718</v>
      </c>
      <c r="B548" s="2" t="s">
        <v>9</v>
      </c>
      <c r="C548" s="2" t="s">
        <v>5</v>
      </c>
      <c r="D548">
        <v>17</v>
      </c>
    </row>
    <row r="549" spans="1:4" x14ac:dyDescent="0.25">
      <c r="A549" s="1">
        <v>45718</v>
      </c>
      <c r="B549" s="2" t="s">
        <v>9</v>
      </c>
      <c r="C549" s="2" t="s">
        <v>6</v>
      </c>
      <c r="D549">
        <v>8</v>
      </c>
    </row>
    <row r="550" spans="1:4" x14ac:dyDescent="0.25">
      <c r="A550" s="1">
        <v>45718</v>
      </c>
      <c r="B550" s="2" t="s">
        <v>9</v>
      </c>
      <c r="C550" s="2" t="s">
        <v>7</v>
      </c>
      <c r="D550">
        <v>27</v>
      </c>
    </row>
    <row r="551" spans="1:4" x14ac:dyDescent="0.25">
      <c r="A551" s="1">
        <v>45719</v>
      </c>
      <c r="B551" s="2" t="s">
        <v>4</v>
      </c>
      <c r="C551" s="2" t="s">
        <v>5</v>
      </c>
      <c r="D551">
        <v>26</v>
      </c>
    </row>
    <row r="552" spans="1:4" x14ac:dyDescent="0.25">
      <c r="A552" s="1">
        <v>45719</v>
      </c>
      <c r="B552" s="2" t="s">
        <v>4</v>
      </c>
      <c r="C552" s="2" t="s">
        <v>6</v>
      </c>
      <c r="D552">
        <v>33</v>
      </c>
    </row>
    <row r="553" spans="1:4" x14ac:dyDescent="0.25">
      <c r="A553" s="1">
        <v>45719</v>
      </c>
      <c r="B553" s="2" t="s">
        <v>4</v>
      </c>
      <c r="C553" s="2" t="s">
        <v>7</v>
      </c>
      <c r="D553">
        <v>20</v>
      </c>
    </row>
    <row r="554" spans="1:4" x14ac:dyDescent="0.25">
      <c r="A554" s="1">
        <v>45719</v>
      </c>
      <c r="B554" s="2" t="s">
        <v>8</v>
      </c>
      <c r="C554" s="2" t="s">
        <v>5</v>
      </c>
      <c r="D554">
        <v>10</v>
      </c>
    </row>
    <row r="555" spans="1:4" x14ac:dyDescent="0.25">
      <c r="A555" s="1">
        <v>45719</v>
      </c>
      <c r="B555" s="2" t="s">
        <v>8</v>
      </c>
      <c r="C555" s="2" t="s">
        <v>6</v>
      </c>
      <c r="D555">
        <v>7</v>
      </c>
    </row>
    <row r="556" spans="1:4" x14ac:dyDescent="0.25">
      <c r="A556" s="1">
        <v>45719</v>
      </c>
      <c r="B556" s="2" t="s">
        <v>8</v>
      </c>
      <c r="C556" s="2" t="s">
        <v>7</v>
      </c>
      <c r="D556">
        <v>24</v>
      </c>
    </row>
    <row r="557" spans="1:4" x14ac:dyDescent="0.25">
      <c r="A557" s="1">
        <v>45719</v>
      </c>
      <c r="B557" s="2" t="s">
        <v>9</v>
      </c>
      <c r="C557" s="2" t="s">
        <v>5</v>
      </c>
      <c r="D557">
        <v>12</v>
      </c>
    </row>
    <row r="558" spans="1:4" x14ac:dyDescent="0.25">
      <c r="A558" s="1">
        <v>45719</v>
      </c>
      <c r="B558" s="2" t="s">
        <v>9</v>
      </c>
      <c r="C558" s="2" t="s">
        <v>6</v>
      </c>
      <c r="D558">
        <v>11</v>
      </c>
    </row>
    <row r="559" spans="1:4" x14ac:dyDescent="0.25">
      <c r="A559" s="1">
        <v>45719</v>
      </c>
      <c r="B559" s="2" t="s">
        <v>9</v>
      </c>
      <c r="C559" s="2" t="s">
        <v>7</v>
      </c>
      <c r="D559">
        <v>21</v>
      </c>
    </row>
    <row r="560" spans="1:4" x14ac:dyDescent="0.25">
      <c r="A560" s="1">
        <v>45720</v>
      </c>
      <c r="B560" s="2" t="s">
        <v>4</v>
      </c>
      <c r="C560" s="2" t="s">
        <v>5</v>
      </c>
      <c r="D560">
        <v>5</v>
      </c>
    </row>
    <row r="561" spans="1:4" x14ac:dyDescent="0.25">
      <c r="A561" s="1">
        <v>45720</v>
      </c>
      <c r="B561" s="2" t="s">
        <v>4</v>
      </c>
      <c r="C561" s="2" t="s">
        <v>6</v>
      </c>
      <c r="D561">
        <v>39</v>
      </c>
    </row>
    <row r="562" spans="1:4" x14ac:dyDescent="0.25">
      <c r="A562" s="1">
        <v>45720</v>
      </c>
      <c r="B562" s="2" t="s">
        <v>4</v>
      </c>
      <c r="C562" s="2" t="s">
        <v>7</v>
      </c>
      <c r="D562">
        <v>25</v>
      </c>
    </row>
    <row r="563" spans="1:4" x14ac:dyDescent="0.25">
      <c r="A563" s="1">
        <v>45720</v>
      </c>
      <c r="B563" s="2" t="s">
        <v>8</v>
      </c>
      <c r="C563" s="2" t="s">
        <v>5</v>
      </c>
      <c r="D563">
        <v>24</v>
      </c>
    </row>
    <row r="564" spans="1:4" x14ac:dyDescent="0.25">
      <c r="A564" s="1">
        <v>45720</v>
      </c>
      <c r="B564" s="2" t="s">
        <v>8</v>
      </c>
      <c r="C564" s="2" t="s">
        <v>6</v>
      </c>
      <c r="D564">
        <v>28</v>
      </c>
    </row>
    <row r="565" spans="1:4" x14ac:dyDescent="0.25">
      <c r="A565" s="1">
        <v>45720</v>
      </c>
      <c r="B565" s="2" t="s">
        <v>8</v>
      </c>
      <c r="C565" s="2" t="s">
        <v>7</v>
      </c>
      <c r="D565">
        <v>36</v>
      </c>
    </row>
    <row r="566" spans="1:4" x14ac:dyDescent="0.25">
      <c r="A566" s="1">
        <v>45720</v>
      </c>
      <c r="B566" s="2" t="s">
        <v>9</v>
      </c>
      <c r="C566" s="2" t="s">
        <v>5</v>
      </c>
      <c r="D566">
        <v>38</v>
      </c>
    </row>
    <row r="567" spans="1:4" x14ac:dyDescent="0.25">
      <c r="A567" s="1">
        <v>45720</v>
      </c>
      <c r="B567" s="2" t="s">
        <v>9</v>
      </c>
      <c r="C567" s="2" t="s">
        <v>6</v>
      </c>
      <c r="D567">
        <v>25</v>
      </c>
    </row>
    <row r="568" spans="1:4" x14ac:dyDescent="0.25">
      <c r="A568" s="1">
        <v>45720</v>
      </c>
      <c r="B568" s="2" t="s">
        <v>9</v>
      </c>
      <c r="C568" s="2" t="s">
        <v>7</v>
      </c>
      <c r="D568">
        <v>13</v>
      </c>
    </row>
    <row r="569" spans="1:4" x14ac:dyDescent="0.25">
      <c r="A569" s="1">
        <v>45721</v>
      </c>
      <c r="B569" s="2" t="s">
        <v>4</v>
      </c>
      <c r="C569" s="2" t="s">
        <v>5</v>
      </c>
      <c r="D569">
        <v>30</v>
      </c>
    </row>
    <row r="570" spans="1:4" x14ac:dyDescent="0.25">
      <c r="A570" s="1">
        <v>45721</v>
      </c>
      <c r="B570" s="2" t="s">
        <v>4</v>
      </c>
      <c r="C570" s="2" t="s">
        <v>6</v>
      </c>
      <c r="D570">
        <v>19</v>
      </c>
    </row>
    <row r="571" spans="1:4" x14ac:dyDescent="0.25">
      <c r="A571" s="1">
        <v>45721</v>
      </c>
      <c r="B571" s="2" t="s">
        <v>4</v>
      </c>
      <c r="C571" s="2" t="s">
        <v>7</v>
      </c>
      <c r="D571">
        <v>32</v>
      </c>
    </row>
    <row r="572" spans="1:4" x14ac:dyDescent="0.25">
      <c r="A572" s="1">
        <v>45721</v>
      </c>
      <c r="B572" s="2" t="s">
        <v>8</v>
      </c>
      <c r="C572" s="2" t="s">
        <v>5</v>
      </c>
      <c r="D572">
        <v>35</v>
      </c>
    </row>
    <row r="573" spans="1:4" x14ac:dyDescent="0.25">
      <c r="A573" s="1">
        <v>45721</v>
      </c>
      <c r="B573" s="2" t="s">
        <v>8</v>
      </c>
      <c r="C573" s="2" t="s">
        <v>6</v>
      </c>
      <c r="D573">
        <v>23</v>
      </c>
    </row>
    <row r="574" spans="1:4" x14ac:dyDescent="0.25">
      <c r="A574" s="1">
        <v>45721</v>
      </c>
      <c r="B574" s="2" t="s">
        <v>8</v>
      </c>
      <c r="C574" s="2" t="s">
        <v>7</v>
      </c>
      <c r="D574">
        <v>6</v>
      </c>
    </row>
    <row r="575" spans="1:4" x14ac:dyDescent="0.25">
      <c r="A575" s="1">
        <v>45721</v>
      </c>
      <c r="B575" s="2" t="s">
        <v>9</v>
      </c>
      <c r="C575" s="2" t="s">
        <v>5</v>
      </c>
      <c r="D575">
        <v>37</v>
      </c>
    </row>
    <row r="576" spans="1:4" x14ac:dyDescent="0.25">
      <c r="A576" s="1">
        <v>45721</v>
      </c>
      <c r="B576" s="2" t="s">
        <v>9</v>
      </c>
      <c r="C576" s="2" t="s">
        <v>6</v>
      </c>
      <c r="D576">
        <v>15</v>
      </c>
    </row>
    <row r="577" spans="1:4" x14ac:dyDescent="0.25">
      <c r="A577" s="1">
        <v>45721</v>
      </c>
      <c r="B577" s="2" t="s">
        <v>9</v>
      </c>
      <c r="C577" s="2" t="s">
        <v>7</v>
      </c>
      <c r="D577">
        <v>21</v>
      </c>
    </row>
    <row r="578" spans="1:4" x14ac:dyDescent="0.25">
      <c r="A578" s="1">
        <v>45722</v>
      </c>
      <c r="B578" s="2" t="s">
        <v>4</v>
      </c>
      <c r="C578" s="2" t="s">
        <v>5</v>
      </c>
      <c r="D578">
        <v>13</v>
      </c>
    </row>
    <row r="579" spans="1:4" x14ac:dyDescent="0.25">
      <c r="A579" s="1">
        <v>45722</v>
      </c>
      <c r="B579" s="2" t="s">
        <v>4</v>
      </c>
      <c r="C579" s="2" t="s">
        <v>6</v>
      </c>
      <c r="D579">
        <v>25</v>
      </c>
    </row>
    <row r="580" spans="1:4" x14ac:dyDescent="0.25">
      <c r="A580" s="1">
        <v>45722</v>
      </c>
      <c r="B580" s="2" t="s">
        <v>4</v>
      </c>
      <c r="C580" s="2" t="s">
        <v>7</v>
      </c>
      <c r="D580">
        <v>13</v>
      </c>
    </row>
    <row r="581" spans="1:4" x14ac:dyDescent="0.25">
      <c r="A581" s="1">
        <v>45722</v>
      </c>
      <c r="B581" s="2" t="s">
        <v>8</v>
      </c>
      <c r="C581" s="2" t="s">
        <v>5</v>
      </c>
      <c r="D581">
        <v>20</v>
      </c>
    </row>
    <row r="582" spans="1:4" x14ac:dyDescent="0.25">
      <c r="A582" s="1">
        <v>45722</v>
      </c>
      <c r="B582" s="2" t="s">
        <v>8</v>
      </c>
      <c r="C582" s="2" t="s">
        <v>6</v>
      </c>
      <c r="D582">
        <v>6</v>
      </c>
    </row>
    <row r="583" spans="1:4" x14ac:dyDescent="0.25">
      <c r="A583" s="1">
        <v>45722</v>
      </c>
      <c r="B583" s="2" t="s">
        <v>8</v>
      </c>
      <c r="C583" s="2" t="s">
        <v>7</v>
      </c>
      <c r="D583">
        <v>6</v>
      </c>
    </row>
    <row r="584" spans="1:4" x14ac:dyDescent="0.25">
      <c r="A584" s="1">
        <v>45722</v>
      </c>
      <c r="B584" s="2" t="s">
        <v>9</v>
      </c>
      <c r="C584" s="2" t="s">
        <v>5</v>
      </c>
      <c r="D584">
        <v>21</v>
      </c>
    </row>
    <row r="585" spans="1:4" x14ac:dyDescent="0.25">
      <c r="A585" s="1">
        <v>45722</v>
      </c>
      <c r="B585" s="2" t="s">
        <v>9</v>
      </c>
      <c r="C585" s="2" t="s">
        <v>6</v>
      </c>
      <c r="D585">
        <v>36</v>
      </c>
    </row>
    <row r="586" spans="1:4" x14ac:dyDescent="0.25">
      <c r="A586" s="1">
        <v>45722</v>
      </c>
      <c r="B586" s="2" t="s">
        <v>9</v>
      </c>
      <c r="C586" s="2" t="s">
        <v>7</v>
      </c>
      <c r="D586">
        <v>13</v>
      </c>
    </row>
    <row r="587" spans="1:4" x14ac:dyDescent="0.25">
      <c r="A587" s="1">
        <v>45723</v>
      </c>
      <c r="B587" s="2" t="s">
        <v>4</v>
      </c>
      <c r="C587" s="2" t="s">
        <v>5</v>
      </c>
      <c r="D587">
        <v>16</v>
      </c>
    </row>
    <row r="588" spans="1:4" x14ac:dyDescent="0.25">
      <c r="A588" s="1">
        <v>45723</v>
      </c>
      <c r="B588" s="2" t="s">
        <v>4</v>
      </c>
      <c r="C588" s="2" t="s">
        <v>6</v>
      </c>
      <c r="D588">
        <v>32</v>
      </c>
    </row>
    <row r="589" spans="1:4" x14ac:dyDescent="0.25">
      <c r="A589" s="1">
        <v>45723</v>
      </c>
      <c r="B589" s="2" t="s">
        <v>4</v>
      </c>
      <c r="C589" s="2" t="s">
        <v>7</v>
      </c>
      <c r="D589">
        <v>39</v>
      </c>
    </row>
    <row r="590" spans="1:4" x14ac:dyDescent="0.25">
      <c r="A590" s="1">
        <v>45723</v>
      </c>
      <c r="B590" s="2" t="s">
        <v>8</v>
      </c>
      <c r="C590" s="2" t="s">
        <v>5</v>
      </c>
      <c r="D590">
        <v>29</v>
      </c>
    </row>
    <row r="591" spans="1:4" x14ac:dyDescent="0.25">
      <c r="A591" s="1">
        <v>45723</v>
      </c>
      <c r="B591" s="2" t="s">
        <v>8</v>
      </c>
      <c r="C591" s="2" t="s">
        <v>6</v>
      </c>
      <c r="D591">
        <v>13</v>
      </c>
    </row>
    <row r="592" spans="1:4" x14ac:dyDescent="0.25">
      <c r="A592" s="1">
        <v>45723</v>
      </c>
      <c r="B592" s="2" t="s">
        <v>8</v>
      </c>
      <c r="C592" s="2" t="s">
        <v>7</v>
      </c>
      <c r="D592">
        <v>35</v>
      </c>
    </row>
    <row r="593" spans="1:4" x14ac:dyDescent="0.25">
      <c r="A593" s="1">
        <v>45723</v>
      </c>
      <c r="B593" s="2" t="s">
        <v>9</v>
      </c>
      <c r="C593" s="2" t="s">
        <v>5</v>
      </c>
      <c r="D593">
        <v>39</v>
      </c>
    </row>
    <row r="594" spans="1:4" x14ac:dyDescent="0.25">
      <c r="A594" s="1">
        <v>45723</v>
      </c>
      <c r="B594" s="2" t="s">
        <v>9</v>
      </c>
      <c r="C594" s="2" t="s">
        <v>6</v>
      </c>
      <c r="D594">
        <v>12</v>
      </c>
    </row>
    <row r="595" spans="1:4" x14ac:dyDescent="0.25">
      <c r="A595" s="1">
        <v>45723</v>
      </c>
      <c r="B595" s="2" t="s">
        <v>9</v>
      </c>
      <c r="C595" s="2" t="s">
        <v>7</v>
      </c>
      <c r="D595">
        <v>39</v>
      </c>
    </row>
    <row r="596" spans="1:4" x14ac:dyDescent="0.25">
      <c r="A596" s="1">
        <v>45724</v>
      </c>
      <c r="B596" s="2" t="s">
        <v>4</v>
      </c>
      <c r="C596" s="2" t="s">
        <v>5</v>
      </c>
      <c r="D596">
        <v>6</v>
      </c>
    </row>
    <row r="597" spans="1:4" x14ac:dyDescent="0.25">
      <c r="A597" s="1">
        <v>45724</v>
      </c>
      <c r="B597" s="2" t="s">
        <v>4</v>
      </c>
      <c r="C597" s="2" t="s">
        <v>6</v>
      </c>
      <c r="D597">
        <v>36</v>
      </c>
    </row>
    <row r="598" spans="1:4" x14ac:dyDescent="0.25">
      <c r="A598" s="1">
        <v>45724</v>
      </c>
      <c r="B598" s="2" t="s">
        <v>4</v>
      </c>
      <c r="C598" s="2" t="s">
        <v>7</v>
      </c>
      <c r="D598">
        <v>37</v>
      </c>
    </row>
    <row r="599" spans="1:4" x14ac:dyDescent="0.25">
      <c r="A599" s="1">
        <v>45724</v>
      </c>
      <c r="B599" s="2" t="s">
        <v>8</v>
      </c>
      <c r="C599" s="2" t="s">
        <v>5</v>
      </c>
      <c r="D599">
        <v>8</v>
      </c>
    </row>
    <row r="600" spans="1:4" x14ac:dyDescent="0.25">
      <c r="A600" s="1">
        <v>45724</v>
      </c>
      <c r="B600" s="2" t="s">
        <v>8</v>
      </c>
      <c r="C600" s="2" t="s">
        <v>6</v>
      </c>
      <c r="D600">
        <v>25</v>
      </c>
    </row>
    <row r="601" spans="1:4" x14ac:dyDescent="0.25">
      <c r="A601" s="1">
        <v>45724</v>
      </c>
      <c r="B601" s="2" t="s">
        <v>8</v>
      </c>
      <c r="C601" s="2" t="s">
        <v>7</v>
      </c>
      <c r="D601">
        <v>10</v>
      </c>
    </row>
    <row r="602" spans="1:4" x14ac:dyDescent="0.25">
      <c r="A602" s="1">
        <v>45724</v>
      </c>
      <c r="B602" s="2" t="s">
        <v>9</v>
      </c>
      <c r="C602" s="2" t="s">
        <v>5</v>
      </c>
      <c r="D602">
        <v>36</v>
      </c>
    </row>
    <row r="603" spans="1:4" x14ac:dyDescent="0.25">
      <c r="A603" s="1">
        <v>45724</v>
      </c>
      <c r="B603" s="2" t="s">
        <v>9</v>
      </c>
      <c r="C603" s="2" t="s">
        <v>6</v>
      </c>
      <c r="D603">
        <v>17</v>
      </c>
    </row>
    <row r="604" spans="1:4" x14ac:dyDescent="0.25">
      <c r="A604" s="1">
        <v>45724</v>
      </c>
      <c r="B604" s="2" t="s">
        <v>9</v>
      </c>
      <c r="C604" s="2" t="s">
        <v>7</v>
      </c>
      <c r="D604">
        <v>27</v>
      </c>
    </row>
    <row r="605" spans="1:4" x14ac:dyDescent="0.25">
      <c r="A605" s="1">
        <v>45725</v>
      </c>
      <c r="B605" s="2" t="s">
        <v>4</v>
      </c>
      <c r="C605" s="2" t="s">
        <v>5</v>
      </c>
      <c r="D605">
        <v>38</v>
      </c>
    </row>
    <row r="606" spans="1:4" x14ac:dyDescent="0.25">
      <c r="A606" s="1">
        <v>45725</v>
      </c>
      <c r="B606" s="2" t="s">
        <v>4</v>
      </c>
      <c r="C606" s="2" t="s">
        <v>6</v>
      </c>
      <c r="D606">
        <v>25</v>
      </c>
    </row>
    <row r="607" spans="1:4" x14ac:dyDescent="0.25">
      <c r="A607" s="1">
        <v>45725</v>
      </c>
      <c r="B607" s="2" t="s">
        <v>4</v>
      </c>
      <c r="C607" s="2" t="s">
        <v>7</v>
      </c>
      <c r="D607">
        <v>36</v>
      </c>
    </row>
    <row r="608" spans="1:4" x14ac:dyDescent="0.25">
      <c r="A608" s="1">
        <v>45725</v>
      </c>
      <c r="B608" s="2" t="s">
        <v>8</v>
      </c>
      <c r="C608" s="2" t="s">
        <v>5</v>
      </c>
      <c r="D608">
        <v>33</v>
      </c>
    </row>
    <row r="609" spans="1:4" x14ac:dyDescent="0.25">
      <c r="A609" s="1">
        <v>45725</v>
      </c>
      <c r="B609" s="2" t="s">
        <v>8</v>
      </c>
      <c r="C609" s="2" t="s">
        <v>6</v>
      </c>
      <c r="D609">
        <v>18</v>
      </c>
    </row>
    <row r="610" spans="1:4" x14ac:dyDescent="0.25">
      <c r="A610" s="1">
        <v>45725</v>
      </c>
      <c r="B610" s="2" t="s">
        <v>8</v>
      </c>
      <c r="C610" s="2" t="s">
        <v>7</v>
      </c>
      <c r="D610">
        <v>5</v>
      </c>
    </row>
    <row r="611" spans="1:4" x14ac:dyDescent="0.25">
      <c r="A611" s="1">
        <v>45725</v>
      </c>
      <c r="B611" s="2" t="s">
        <v>9</v>
      </c>
      <c r="C611" s="2" t="s">
        <v>5</v>
      </c>
      <c r="D611">
        <v>15</v>
      </c>
    </row>
    <row r="612" spans="1:4" x14ac:dyDescent="0.25">
      <c r="A612" s="1">
        <v>45725</v>
      </c>
      <c r="B612" s="2" t="s">
        <v>9</v>
      </c>
      <c r="C612" s="2" t="s">
        <v>6</v>
      </c>
      <c r="D612">
        <v>13</v>
      </c>
    </row>
    <row r="613" spans="1:4" x14ac:dyDescent="0.25">
      <c r="A613" s="1">
        <v>45725</v>
      </c>
      <c r="B613" s="2" t="s">
        <v>9</v>
      </c>
      <c r="C613" s="2" t="s">
        <v>7</v>
      </c>
      <c r="D613">
        <v>14</v>
      </c>
    </row>
    <row r="614" spans="1:4" x14ac:dyDescent="0.25">
      <c r="A614" s="1">
        <v>45726</v>
      </c>
      <c r="B614" s="2" t="s">
        <v>4</v>
      </c>
      <c r="C614" s="2" t="s">
        <v>5</v>
      </c>
      <c r="D614">
        <v>35</v>
      </c>
    </row>
    <row r="615" spans="1:4" x14ac:dyDescent="0.25">
      <c r="A615" s="1">
        <v>45726</v>
      </c>
      <c r="B615" s="2" t="s">
        <v>4</v>
      </c>
      <c r="C615" s="2" t="s">
        <v>6</v>
      </c>
      <c r="D615">
        <v>15</v>
      </c>
    </row>
    <row r="616" spans="1:4" x14ac:dyDescent="0.25">
      <c r="A616" s="1">
        <v>45726</v>
      </c>
      <c r="B616" s="2" t="s">
        <v>4</v>
      </c>
      <c r="C616" s="2" t="s">
        <v>7</v>
      </c>
      <c r="D616">
        <v>18</v>
      </c>
    </row>
    <row r="617" spans="1:4" x14ac:dyDescent="0.25">
      <c r="A617" s="1">
        <v>45726</v>
      </c>
      <c r="B617" s="2" t="s">
        <v>8</v>
      </c>
      <c r="C617" s="2" t="s">
        <v>5</v>
      </c>
      <c r="D617">
        <v>11</v>
      </c>
    </row>
    <row r="618" spans="1:4" x14ac:dyDescent="0.25">
      <c r="A618" s="1">
        <v>45726</v>
      </c>
      <c r="B618" s="2" t="s">
        <v>8</v>
      </c>
      <c r="C618" s="2" t="s">
        <v>6</v>
      </c>
      <c r="D618">
        <v>37</v>
      </c>
    </row>
    <row r="619" spans="1:4" x14ac:dyDescent="0.25">
      <c r="A619" s="1">
        <v>45726</v>
      </c>
      <c r="B619" s="2" t="s">
        <v>8</v>
      </c>
      <c r="C619" s="2" t="s">
        <v>7</v>
      </c>
      <c r="D619">
        <v>31</v>
      </c>
    </row>
    <row r="620" spans="1:4" x14ac:dyDescent="0.25">
      <c r="A620" s="1">
        <v>45726</v>
      </c>
      <c r="B620" s="2" t="s">
        <v>9</v>
      </c>
      <c r="C620" s="2" t="s">
        <v>5</v>
      </c>
      <c r="D620">
        <v>10</v>
      </c>
    </row>
    <row r="621" spans="1:4" x14ac:dyDescent="0.25">
      <c r="A621" s="1">
        <v>45726</v>
      </c>
      <c r="B621" s="2" t="s">
        <v>9</v>
      </c>
      <c r="C621" s="2" t="s">
        <v>6</v>
      </c>
      <c r="D621">
        <v>11</v>
      </c>
    </row>
    <row r="622" spans="1:4" x14ac:dyDescent="0.25">
      <c r="A622" s="1">
        <v>45726</v>
      </c>
      <c r="B622" s="2" t="s">
        <v>9</v>
      </c>
      <c r="C622" s="2" t="s">
        <v>7</v>
      </c>
      <c r="D622">
        <v>31</v>
      </c>
    </row>
    <row r="623" spans="1:4" x14ac:dyDescent="0.25">
      <c r="A623" s="1">
        <v>45727</v>
      </c>
      <c r="B623" s="2" t="s">
        <v>4</v>
      </c>
      <c r="C623" s="2" t="s">
        <v>5</v>
      </c>
      <c r="D623">
        <v>34</v>
      </c>
    </row>
    <row r="624" spans="1:4" x14ac:dyDescent="0.25">
      <c r="A624" s="1">
        <v>45727</v>
      </c>
      <c r="B624" s="2" t="s">
        <v>4</v>
      </c>
      <c r="C624" s="2" t="s">
        <v>6</v>
      </c>
      <c r="D624">
        <v>38</v>
      </c>
    </row>
    <row r="625" spans="1:4" x14ac:dyDescent="0.25">
      <c r="A625" s="1">
        <v>45727</v>
      </c>
      <c r="B625" s="2" t="s">
        <v>4</v>
      </c>
      <c r="C625" s="2" t="s">
        <v>7</v>
      </c>
      <c r="D625">
        <v>25</v>
      </c>
    </row>
    <row r="626" spans="1:4" x14ac:dyDescent="0.25">
      <c r="A626" s="1">
        <v>45727</v>
      </c>
      <c r="B626" s="2" t="s">
        <v>8</v>
      </c>
      <c r="C626" s="2" t="s">
        <v>5</v>
      </c>
      <c r="D626">
        <v>7</v>
      </c>
    </row>
    <row r="627" spans="1:4" x14ac:dyDescent="0.25">
      <c r="A627" s="1">
        <v>45727</v>
      </c>
      <c r="B627" s="2" t="s">
        <v>8</v>
      </c>
      <c r="C627" s="2" t="s">
        <v>6</v>
      </c>
      <c r="D627">
        <v>20</v>
      </c>
    </row>
    <row r="628" spans="1:4" x14ac:dyDescent="0.25">
      <c r="A628" s="1">
        <v>45727</v>
      </c>
      <c r="B628" s="2" t="s">
        <v>8</v>
      </c>
      <c r="C628" s="2" t="s">
        <v>7</v>
      </c>
      <c r="D628">
        <v>22</v>
      </c>
    </row>
    <row r="629" spans="1:4" x14ac:dyDescent="0.25">
      <c r="A629" s="1">
        <v>45727</v>
      </c>
      <c r="B629" s="2" t="s">
        <v>9</v>
      </c>
      <c r="C629" s="2" t="s">
        <v>5</v>
      </c>
      <c r="D629">
        <v>17</v>
      </c>
    </row>
    <row r="630" spans="1:4" x14ac:dyDescent="0.25">
      <c r="A630" s="1">
        <v>45727</v>
      </c>
      <c r="B630" s="2" t="s">
        <v>9</v>
      </c>
      <c r="C630" s="2" t="s">
        <v>6</v>
      </c>
      <c r="D630">
        <v>26</v>
      </c>
    </row>
    <row r="631" spans="1:4" x14ac:dyDescent="0.25">
      <c r="A631" s="1">
        <v>45727</v>
      </c>
      <c r="B631" s="2" t="s">
        <v>9</v>
      </c>
      <c r="C631" s="2" t="s">
        <v>7</v>
      </c>
      <c r="D631">
        <v>38</v>
      </c>
    </row>
    <row r="632" spans="1:4" x14ac:dyDescent="0.25">
      <c r="A632" s="1">
        <v>45728</v>
      </c>
      <c r="B632" s="2" t="s">
        <v>4</v>
      </c>
      <c r="C632" s="2" t="s">
        <v>5</v>
      </c>
      <c r="D632">
        <v>16</v>
      </c>
    </row>
    <row r="633" spans="1:4" x14ac:dyDescent="0.25">
      <c r="A633" s="1">
        <v>45728</v>
      </c>
      <c r="B633" s="2" t="s">
        <v>4</v>
      </c>
      <c r="C633" s="2" t="s">
        <v>6</v>
      </c>
      <c r="D633">
        <v>16</v>
      </c>
    </row>
    <row r="634" spans="1:4" x14ac:dyDescent="0.25">
      <c r="A634" s="1">
        <v>45728</v>
      </c>
      <c r="B634" s="2" t="s">
        <v>4</v>
      </c>
      <c r="C634" s="2" t="s">
        <v>7</v>
      </c>
      <c r="D634">
        <v>33</v>
      </c>
    </row>
    <row r="635" spans="1:4" x14ac:dyDescent="0.25">
      <c r="A635" s="1">
        <v>45728</v>
      </c>
      <c r="B635" s="2" t="s">
        <v>8</v>
      </c>
      <c r="C635" s="2" t="s">
        <v>5</v>
      </c>
      <c r="D635">
        <v>28</v>
      </c>
    </row>
    <row r="636" spans="1:4" x14ac:dyDescent="0.25">
      <c r="A636" s="1">
        <v>45728</v>
      </c>
      <c r="B636" s="2" t="s">
        <v>8</v>
      </c>
      <c r="C636" s="2" t="s">
        <v>6</v>
      </c>
      <c r="D636">
        <v>35</v>
      </c>
    </row>
    <row r="637" spans="1:4" x14ac:dyDescent="0.25">
      <c r="A637" s="1">
        <v>45728</v>
      </c>
      <c r="B637" s="2" t="s">
        <v>8</v>
      </c>
      <c r="C637" s="2" t="s">
        <v>7</v>
      </c>
      <c r="D637">
        <v>16</v>
      </c>
    </row>
    <row r="638" spans="1:4" x14ac:dyDescent="0.25">
      <c r="A638" s="1">
        <v>45728</v>
      </c>
      <c r="B638" s="2" t="s">
        <v>9</v>
      </c>
      <c r="C638" s="2" t="s">
        <v>5</v>
      </c>
      <c r="D638">
        <v>7</v>
      </c>
    </row>
    <row r="639" spans="1:4" x14ac:dyDescent="0.25">
      <c r="A639" s="1">
        <v>45728</v>
      </c>
      <c r="B639" s="2" t="s">
        <v>9</v>
      </c>
      <c r="C639" s="2" t="s">
        <v>6</v>
      </c>
      <c r="D639">
        <v>19</v>
      </c>
    </row>
    <row r="640" spans="1:4" x14ac:dyDescent="0.25">
      <c r="A640" s="1">
        <v>45728</v>
      </c>
      <c r="B640" s="2" t="s">
        <v>9</v>
      </c>
      <c r="C640" s="2" t="s">
        <v>7</v>
      </c>
      <c r="D640">
        <v>32</v>
      </c>
    </row>
    <row r="641" spans="1:4" x14ac:dyDescent="0.25">
      <c r="A641" s="1">
        <v>45729</v>
      </c>
      <c r="B641" s="2" t="s">
        <v>4</v>
      </c>
      <c r="C641" s="2" t="s">
        <v>5</v>
      </c>
      <c r="D641">
        <v>23</v>
      </c>
    </row>
    <row r="642" spans="1:4" x14ac:dyDescent="0.25">
      <c r="A642" s="1">
        <v>45729</v>
      </c>
      <c r="B642" s="2" t="s">
        <v>4</v>
      </c>
      <c r="C642" s="2" t="s">
        <v>6</v>
      </c>
      <c r="D642">
        <v>12</v>
      </c>
    </row>
    <row r="643" spans="1:4" x14ac:dyDescent="0.25">
      <c r="A643" s="1">
        <v>45729</v>
      </c>
      <c r="B643" s="2" t="s">
        <v>4</v>
      </c>
      <c r="C643" s="2" t="s">
        <v>7</v>
      </c>
      <c r="D643">
        <v>34</v>
      </c>
    </row>
    <row r="644" spans="1:4" x14ac:dyDescent="0.25">
      <c r="A644" s="1">
        <v>45729</v>
      </c>
      <c r="B644" s="2" t="s">
        <v>8</v>
      </c>
      <c r="C644" s="2" t="s">
        <v>5</v>
      </c>
      <c r="D644">
        <v>28</v>
      </c>
    </row>
    <row r="645" spans="1:4" x14ac:dyDescent="0.25">
      <c r="A645" s="1">
        <v>45729</v>
      </c>
      <c r="B645" s="2" t="s">
        <v>8</v>
      </c>
      <c r="C645" s="2" t="s">
        <v>6</v>
      </c>
      <c r="D645">
        <v>12</v>
      </c>
    </row>
    <row r="646" spans="1:4" x14ac:dyDescent="0.25">
      <c r="A646" s="1">
        <v>45729</v>
      </c>
      <c r="B646" s="2" t="s">
        <v>8</v>
      </c>
      <c r="C646" s="2" t="s">
        <v>7</v>
      </c>
      <c r="D646">
        <v>5</v>
      </c>
    </row>
    <row r="647" spans="1:4" x14ac:dyDescent="0.25">
      <c r="A647" s="1">
        <v>45729</v>
      </c>
      <c r="B647" s="2" t="s">
        <v>9</v>
      </c>
      <c r="C647" s="2" t="s">
        <v>5</v>
      </c>
      <c r="D647">
        <v>21</v>
      </c>
    </row>
    <row r="648" spans="1:4" x14ac:dyDescent="0.25">
      <c r="A648" s="1">
        <v>45729</v>
      </c>
      <c r="B648" s="2" t="s">
        <v>9</v>
      </c>
      <c r="C648" s="2" t="s">
        <v>6</v>
      </c>
      <c r="D648">
        <v>35</v>
      </c>
    </row>
    <row r="649" spans="1:4" x14ac:dyDescent="0.25">
      <c r="A649" s="1">
        <v>45729</v>
      </c>
      <c r="B649" s="2" t="s">
        <v>9</v>
      </c>
      <c r="C649" s="2" t="s">
        <v>7</v>
      </c>
      <c r="D649">
        <v>18</v>
      </c>
    </row>
    <row r="650" spans="1:4" x14ac:dyDescent="0.25">
      <c r="A650" s="1">
        <v>45730</v>
      </c>
      <c r="B650" s="2" t="s">
        <v>4</v>
      </c>
      <c r="C650" s="2" t="s">
        <v>5</v>
      </c>
      <c r="D650">
        <v>17</v>
      </c>
    </row>
    <row r="651" spans="1:4" x14ac:dyDescent="0.25">
      <c r="A651" s="1">
        <v>45730</v>
      </c>
      <c r="B651" s="2" t="s">
        <v>4</v>
      </c>
      <c r="C651" s="2" t="s">
        <v>6</v>
      </c>
      <c r="D651">
        <v>32</v>
      </c>
    </row>
    <row r="652" spans="1:4" x14ac:dyDescent="0.25">
      <c r="A652" s="1">
        <v>45730</v>
      </c>
      <c r="B652" s="2" t="s">
        <v>4</v>
      </c>
      <c r="C652" s="2" t="s">
        <v>7</v>
      </c>
      <c r="D652">
        <v>8</v>
      </c>
    </row>
    <row r="653" spans="1:4" x14ac:dyDescent="0.25">
      <c r="A653" s="1">
        <v>45730</v>
      </c>
      <c r="B653" s="2" t="s">
        <v>8</v>
      </c>
      <c r="C653" s="2" t="s">
        <v>5</v>
      </c>
      <c r="D653">
        <v>35</v>
      </c>
    </row>
    <row r="654" spans="1:4" x14ac:dyDescent="0.25">
      <c r="A654" s="1">
        <v>45730</v>
      </c>
      <c r="B654" s="2" t="s">
        <v>8</v>
      </c>
      <c r="C654" s="2" t="s">
        <v>6</v>
      </c>
      <c r="D654">
        <v>27</v>
      </c>
    </row>
    <row r="655" spans="1:4" x14ac:dyDescent="0.25">
      <c r="A655" s="1">
        <v>45730</v>
      </c>
      <c r="B655" s="2" t="s">
        <v>8</v>
      </c>
      <c r="C655" s="2" t="s">
        <v>7</v>
      </c>
      <c r="D655">
        <v>16</v>
      </c>
    </row>
    <row r="656" spans="1:4" x14ac:dyDescent="0.25">
      <c r="A656" s="1">
        <v>45730</v>
      </c>
      <c r="B656" s="2" t="s">
        <v>9</v>
      </c>
      <c r="C656" s="2" t="s">
        <v>5</v>
      </c>
      <c r="D656">
        <v>25</v>
      </c>
    </row>
    <row r="657" spans="1:4" x14ac:dyDescent="0.25">
      <c r="A657" s="1">
        <v>45730</v>
      </c>
      <c r="B657" s="2" t="s">
        <v>9</v>
      </c>
      <c r="C657" s="2" t="s">
        <v>6</v>
      </c>
      <c r="D657">
        <v>7</v>
      </c>
    </row>
    <row r="658" spans="1:4" x14ac:dyDescent="0.25">
      <c r="A658" s="1">
        <v>45730</v>
      </c>
      <c r="B658" s="2" t="s">
        <v>9</v>
      </c>
      <c r="C658" s="2" t="s">
        <v>7</v>
      </c>
      <c r="D658">
        <v>26</v>
      </c>
    </row>
    <row r="659" spans="1:4" x14ac:dyDescent="0.25">
      <c r="A659" s="1">
        <v>45731</v>
      </c>
      <c r="B659" s="2" t="s">
        <v>4</v>
      </c>
      <c r="C659" s="2" t="s">
        <v>5</v>
      </c>
      <c r="D659">
        <v>34</v>
      </c>
    </row>
    <row r="660" spans="1:4" x14ac:dyDescent="0.25">
      <c r="A660" s="1">
        <v>45731</v>
      </c>
      <c r="B660" s="2" t="s">
        <v>4</v>
      </c>
      <c r="C660" s="2" t="s">
        <v>6</v>
      </c>
      <c r="D660">
        <v>27</v>
      </c>
    </row>
    <row r="661" spans="1:4" x14ac:dyDescent="0.25">
      <c r="A661" s="1">
        <v>45731</v>
      </c>
      <c r="B661" s="2" t="s">
        <v>4</v>
      </c>
      <c r="C661" s="2" t="s">
        <v>7</v>
      </c>
      <c r="D661">
        <v>37</v>
      </c>
    </row>
    <row r="662" spans="1:4" x14ac:dyDescent="0.25">
      <c r="A662" s="1">
        <v>45731</v>
      </c>
      <c r="B662" s="2" t="s">
        <v>8</v>
      </c>
      <c r="C662" s="2" t="s">
        <v>5</v>
      </c>
      <c r="D662">
        <v>18</v>
      </c>
    </row>
    <row r="663" spans="1:4" x14ac:dyDescent="0.25">
      <c r="A663" s="1">
        <v>45731</v>
      </c>
      <c r="B663" s="2" t="s">
        <v>8</v>
      </c>
      <c r="C663" s="2" t="s">
        <v>6</v>
      </c>
      <c r="D663">
        <v>8</v>
      </c>
    </row>
    <row r="664" spans="1:4" x14ac:dyDescent="0.25">
      <c r="A664" s="1">
        <v>45731</v>
      </c>
      <c r="B664" s="2" t="s">
        <v>8</v>
      </c>
      <c r="C664" s="2" t="s">
        <v>7</v>
      </c>
      <c r="D664">
        <v>40</v>
      </c>
    </row>
    <row r="665" spans="1:4" x14ac:dyDescent="0.25">
      <c r="A665" s="1">
        <v>45731</v>
      </c>
      <c r="B665" s="2" t="s">
        <v>9</v>
      </c>
      <c r="C665" s="2" t="s">
        <v>5</v>
      </c>
      <c r="D665">
        <v>12</v>
      </c>
    </row>
    <row r="666" spans="1:4" x14ac:dyDescent="0.25">
      <c r="A666" s="1">
        <v>45731</v>
      </c>
      <c r="B666" s="2" t="s">
        <v>9</v>
      </c>
      <c r="C666" s="2" t="s">
        <v>6</v>
      </c>
      <c r="D666">
        <v>32</v>
      </c>
    </row>
    <row r="667" spans="1:4" x14ac:dyDescent="0.25">
      <c r="A667" s="1">
        <v>45731</v>
      </c>
      <c r="B667" s="2" t="s">
        <v>9</v>
      </c>
      <c r="C667" s="2" t="s">
        <v>7</v>
      </c>
      <c r="D667">
        <v>15</v>
      </c>
    </row>
    <row r="668" spans="1:4" x14ac:dyDescent="0.25">
      <c r="A668" s="1">
        <v>45732</v>
      </c>
      <c r="B668" s="2" t="s">
        <v>4</v>
      </c>
      <c r="C668" s="2" t="s">
        <v>5</v>
      </c>
      <c r="D668">
        <v>25</v>
      </c>
    </row>
    <row r="669" spans="1:4" x14ac:dyDescent="0.25">
      <c r="A669" s="1">
        <v>45732</v>
      </c>
      <c r="B669" s="2" t="s">
        <v>4</v>
      </c>
      <c r="C669" s="2" t="s">
        <v>6</v>
      </c>
      <c r="D669">
        <v>8</v>
      </c>
    </row>
    <row r="670" spans="1:4" x14ac:dyDescent="0.25">
      <c r="A670" s="1">
        <v>45732</v>
      </c>
      <c r="B670" s="2" t="s">
        <v>4</v>
      </c>
      <c r="C670" s="2" t="s">
        <v>7</v>
      </c>
      <c r="D670">
        <v>21</v>
      </c>
    </row>
    <row r="671" spans="1:4" x14ac:dyDescent="0.25">
      <c r="A671" s="1">
        <v>45732</v>
      </c>
      <c r="B671" s="2" t="s">
        <v>8</v>
      </c>
      <c r="C671" s="2" t="s">
        <v>5</v>
      </c>
      <c r="D671">
        <v>29</v>
      </c>
    </row>
    <row r="672" spans="1:4" x14ac:dyDescent="0.25">
      <c r="A672" s="1">
        <v>45732</v>
      </c>
      <c r="B672" s="2" t="s">
        <v>8</v>
      </c>
      <c r="C672" s="2" t="s">
        <v>6</v>
      </c>
      <c r="D672">
        <v>39</v>
      </c>
    </row>
    <row r="673" spans="1:4" x14ac:dyDescent="0.25">
      <c r="A673" s="1">
        <v>45732</v>
      </c>
      <c r="B673" s="2" t="s">
        <v>8</v>
      </c>
      <c r="C673" s="2" t="s">
        <v>7</v>
      </c>
      <c r="D673">
        <v>14</v>
      </c>
    </row>
    <row r="674" spans="1:4" x14ac:dyDescent="0.25">
      <c r="A674" s="1">
        <v>45732</v>
      </c>
      <c r="B674" s="2" t="s">
        <v>9</v>
      </c>
      <c r="C674" s="2" t="s">
        <v>5</v>
      </c>
      <c r="D674">
        <v>16</v>
      </c>
    </row>
    <row r="675" spans="1:4" x14ac:dyDescent="0.25">
      <c r="A675" s="1">
        <v>45732</v>
      </c>
      <c r="B675" s="2" t="s">
        <v>9</v>
      </c>
      <c r="C675" s="2" t="s">
        <v>6</v>
      </c>
      <c r="D675">
        <v>25</v>
      </c>
    </row>
    <row r="676" spans="1:4" x14ac:dyDescent="0.25">
      <c r="A676" s="1">
        <v>45732</v>
      </c>
      <c r="B676" s="2" t="s">
        <v>9</v>
      </c>
      <c r="C676" s="2" t="s">
        <v>7</v>
      </c>
      <c r="D676">
        <v>16</v>
      </c>
    </row>
    <row r="677" spans="1:4" x14ac:dyDescent="0.25">
      <c r="A677" s="1">
        <v>45733</v>
      </c>
      <c r="B677" s="2" t="s">
        <v>4</v>
      </c>
      <c r="C677" s="2" t="s">
        <v>5</v>
      </c>
      <c r="D677">
        <v>24</v>
      </c>
    </row>
    <row r="678" spans="1:4" x14ac:dyDescent="0.25">
      <c r="A678" s="1">
        <v>45733</v>
      </c>
      <c r="B678" s="2" t="s">
        <v>4</v>
      </c>
      <c r="C678" s="2" t="s">
        <v>6</v>
      </c>
      <c r="D678">
        <v>20</v>
      </c>
    </row>
    <row r="679" spans="1:4" x14ac:dyDescent="0.25">
      <c r="A679" s="1">
        <v>45733</v>
      </c>
      <c r="B679" s="2" t="s">
        <v>4</v>
      </c>
      <c r="C679" s="2" t="s">
        <v>7</v>
      </c>
      <c r="D679">
        <v>15</v>
      </c>
    </row>
    <row r="680" spans="1:4" x14ac:dyDescent="0.25">
      <c r="A680" s="1">
        <v>45733</v>
      </c>
      <c r="B680" s="2" t="s">
        <v>8</v>
      </c>
      <c r="C680" s="2" t="s">
        <v>5</v>
      </c>
      <c r="D680">
        <v>20</v>
      </c>
    </row>
    <row r="681" spans="1:4" x14ac:dyDescent="0.25">
      <c r="A681" s="1">
        <v>45733</v>
      </c>
      <c r="B681" s="2" t="s">
        <v>8</v>
      </c>
      <c r="C681" s="2" t="s">
        <v>6</v>
      </c>
      <c r="D681">
        <v>5</v>
      </c>
    </row>
    <row r="682" spans="1:4" x14ac:dyDescent="0.25">
      <c r="A682" s="1">
        <v>45733</v>
      </c>
      <c r="B682" s="2" t="s">
        <v>8</v>
      </c>
      <c r="C682" s="2" t="s">
        <v>7</v>
      </c>
      <c r="D682">
        <v>10</v>
      </c>
    </row>
    <row r="683" spans="1:4" x14ac:dyDescent="0.25">
      <c r="A683" s="1">
        <v>45733</v>
      </c>
      <c r="B683" s="2" t="s">
        <v>9</v>
      </c>
      <c r="C683" s="2" t="s">
        <v>5</v>
      </c>
      <c r="D683">
        <v>37</v>
      </c>
    </row>
    <row r="684" spans="1:4" x14ac:dyDescent="0.25">
      <c r="A684" s="1">
        <v>45733</v>
      </c>
      <c r="B684" s="2" t="s">
        <v>9</v>
      </c>
      <c r="C684" s="2" t="s">
        <v>6</v>
      </c>
      <c r="D684">
        <v>26</v>
      </c>
    </row>
    <row r="685" spans="1:4" x14ac:dyDescent="0.25">
      <c r="A685" s="1">
        <v>45733</v>
      </c>
      <c r="B685" s="2" t="s">
        <v>9</v>
      </c>
      <c r="C685" s="2" t="s">
        <v>7</v>
      </c>
      <c r="D685">
        <v>36</v>
      </c>
    </row>
    <row r="686" spans="1:4" x14ac:dyDescent="0.25">
      <c r="A686" s="1">
        <v>45734</v>
      </c>
      <c r="B686" s="2" t="s">
        <v>4</v>
      </c>
      <c r="C686" s="2" t="s">
        <v>5</v>
      </c>
      <c r="D686">
        <v>37</v>
      </c>
    </row>
    <row r="687" spans="1:4" x14ac:dyDescent="0.25">
      <c r="A687" s="1">
        <v>45734</v>
      </c>
      <c r="B687" s="2" t="s">
        <v>4</v>
      </c>
      <c r="C687" s="2" t="s">
        <v>6</v>
      </c>
      <c r="D687">
        <v>15</v>
      </c>
    </row>
    <row r="688" spans="1:4" x14ac:dyDescent="0.25">
      <c r="A688" s="1">
        <v>45734</v>
      </c>
      <c r="B688" s="2" t="s">
        <v>4</v>
      </c>
      <c r="C688" s="2" t="s">
        <v>7</v>
      </c>
      <c r="D688">
        <v>35</v>
      </c>
    </row>
    <row r="689" spans="1:4" x14ac:dyDescent="0.25">
      <c r="A689" s="1">
        <v>45734</v>
      </c>
      <c r="B689" s="2" t="s">
        <v>8</v>
      </c>
      <c r="C689" s="2" t="s">
        <v>5</v>
      </c>
      <c r="D689">
        <v>23</v>
      </c>
    </row>
    <row r="690" spans="1:4" x14ac:dyDescent="0.25">
      <c r="A690" s="1">
        <v>45734</v>
      </c>
      <c r="B690" s="2" t="s">
        <v>8</v>
      </c>
      <c r="C690" s="2" t="s">
        <v>6</v>
      </c>
      <c r="D690">
        <v>8</v>
      </c>
    </row>
    <row r="691" spans="1:4" x14ac:dyDescent="0.25">
      <c r="A691" s="1">
        <v>45734</v>
      </c>
      <c r="B691" s="2" t="s">
        <v>8</v>
      </c>
      <c r="C691" s="2" t="s">
        <v>7</v>
      </c>
      <c r="D691">
        <v>23</v>
      </c>
    </row>
    <row r="692" spans="1:4" x14ac:dyDescent="0.25">
      <c r="A692" s="1">
        <v>45734</v>
      </c>
      <c r="B692" s="2" t="s">
        <v>9</v>
      </c>
      <c r="C692" s="2" t="s">
        <v>5</v>
      </c>
      <c r="D692">
        <v>25</v>
      </c>
    </row>
    <row r="693" spans="1:4" x14ac:dyDescent="0.25">
      <c r="A693" s="1">
        <v>45734</v>
      </c>
      <c r="B693" s="2" t="s">
        <v>9</v>
      </c>
      <c r="C693" s="2" t="s">
        <v>6</v>
      </c>
      <c r="D693">
        <v>22</v>
      </c>
    </row>
    <row r="694" spans="1:4" x14ac:dyDescent="0.25">
      <c r="A694" s="1">
        <v>45734</v>
      </c>
      <c r="B694" s="2" t="s">
        <v>9</v>
      </c>
      <c r="C694" s="2" t="s">
        <v>7</v>
      </c>
      <c r="D694">
        <v>14</v>
      </c>
    </row>
    <row r="695" spans="1:4" x14ac:dyDescent="0.25">
      <c r="A695" s="1">
        <v>45735</v>
      </c>
      <c r="B695" s="2" t="s">
        <v>4</v>
      </c>
      <c r="C695" s="2" t="s">
        <v>5</v>
      </c>
      <c r="D695">
        <v>19</v>
      </c>
    </row>
    <row r="696" spans="1:4" x14ac:dyDescent="0.25">
      <c r="A696" s="1">
        <v>45735</v>
      </c>
      <c r="B696" s="2" t="s">
        <v>4</v>
      </c>
      <c r="C696" s="2" t="s">
        <v>6</v>
      </c>
      <c r="D696">
        <v>28</v>
      </c>
    </row>
    <row r="697" spans="1:4" x14ac:dyDescent="0.25">
      <c r="A697" s="1">
        <v>45735</v>
      </c>
      <c r="B697" s="2" t="s">
        <v>4</v>
      </c>
      <c r="C697" s="2" t="s">
        <v>7</v>
      </c>
      <c r="D697">
        <v>7</v>
      </c>
    </row>
    <row r="698" spans="1:4" x14ac:dyDescent="0.25">
      <c r="A698" s="1">
        <v>45735</v>
      </c>
      <c r="B698" s="2" t="s">
        <v>8</v>
      </c>
      <c r="C698" s="2" t="s">
        <v>5</v>
      </c>
      <c r="D698">
        <v>13</v>
      </c>
    </row>
    <row r="699" spans="1:4" x14ac:dyDescent="0.25">
      <c r="A699" s="1">
        <v>45735</v>
      </c>
      <c r="B699" s="2" t="s">
        <v>8</v>
      </c>
      <c r="C699" s="2" t="s">
        <v>6</v>
      </c>
      <c r="D699">
        <v>28</v>
      </c>
    </row>
    <row r="700" spans="1:4" x14ac:dyDescent="0.25">
      <c r="A700" s="1">
        <v>45735</v>
      </c>
      <c r="B700" s="2" t="s">
        <v>8</v>
      </c>
      <c r="C700" s="2" t="s">
        <v>7</v>
      </c>
      <c r="D700">
        <v>10</v>
      </c>
    </row>
    <row r="701" spans="1:4" x14ac:dyDescent="0.25">
      <c r="A701" s="1">
        <v>45735</v>
      </c>
      <c r="B701" s="2" t="s">
        <v>9</v>
      </c>
      <c r="C701" s="2" t="s">
        <v>5</v>
      </c>
      <c r="D701">
        <v>35</v>
      </c>
    </row>
    <row r="702" spans="1:4" x14ac:dyDescent="0.25">
      <c r="A702" s="1">
        <v>45735</v>
      </c>
      <c r="B702" s="2" t="s">
        <v>9</v>
      </c>
      <c r="C702" s="2" t="s">
        <v>6</v>
      </c>
      <c r="D702">
        <v>10</v>
      </c>
    </row>
    <row r="703" spans="1:4" x14ac:dyDescent="0.25">
      <c r="A703" s="1">
        <v>45735</v>
      </c>
      <c r="B703" s="2" t="s">
        <v>9</v>
      </c>
      <c r="C703" s="2" t="s">
        <v>7</v>
      </c>
      <c r="D703">
        <v>24</v>
      </c>
    </row>
    <row r="704" spans="1:4" x14ac:dyDescent="0.25">
      <c r="A704" s="1">
        <v>45736</v>
      </c>
      <c r="B704" s="2" t="s">
        <v>4</v>
      </c>
      <c r="C704" s="2" t="s">
        <v>5</v>
      </c>
      <c r="D704">
        <v>38</v>
      </c>
    </row>
    <row r="705" spans="1:4" x14ac:dyDescent="0.25">
      <c r="A705" s="1">
        <v>45736</v>
      </c>
      <c r="B705" s="2" t="s">
        <v>4</v>
      </c>
      <c r="C705" s="2" t="s">
        <v>6</v>
      </c>
      <c r="D705">
        <v>22</v>
      </c>
    </row>
    <row r="706" spans="1:4" x14ac:dyDescent="0.25">
      <c r="A706" s="1">
        <v>45736</v>
      </c>
      <c r="B706" s="2" t="s">
        <v>4</v>
      </c>
      <c r="C706" s="2" t="s">
        <v>7</v>
      </c>
      <c r="D706">
        <v>39</v>
      </c>
    </row>
    <row r="707" spans="1:4" x14ac:dyDescent="0.25">
      <c r="A707" s="1">
        <v>45736</v>
      </c>
      <c r="B707" s="2" t="s">
        <v>8</v>
      </c>
      <c r="C707" s="2" t="s">
        <v>5</v>
      </c>
      <c r="D707">
        <v>13</v>
      </c>
    </row>
    <row r="708" spans="1:4" x14ac:dyDescent="0.25">
      <c r="A708" s="1">
        <v>45736</v>
      </c>
      <c r="B708" s="2" t="s">
        <v>8</v>
      </c>
      <c r="C708" s="2" t="s">
        <v>6</v>
      </c>
      <c r="D708">
        <v>11</v>
      </c>
    </row>
    <row r="709" spans="1:4" x14ac:dyDescent="0.25">
      <c r="A709" s="1">
        <v>45736</v>
      </c>
      <c r="B709" s="2" t="s">
        <v>8</v>
      </c>
      <c r="C709" s="2" t="s">
        <v>7</v>
      </c>
      <c r="D709">
        <v>26</v>
      </c>
    </row>
    <row r="710" spans="1:4" x14ac:dyDescent="0.25">
      <c r="A710" s="1">
        <v>45736</v>
      </c>
      <c r="B710" s="2" t="s">
        <v>9</v>
      </c>
      <c r="C710" s="2" t="s">
        <v>5</v>
      </c>
      <c r="D710">
        <v>10</v>
      </c>
    </row>
    <row r="711" spans="1:4" x14ac:dyDescent="0.25">
      <c r="A711" s="1">
        <v>45736</v>
      </c>
      <c r="B711" s="2" t="s">
        <v>9</v>
      </c>
      <c r="C711" s="2" t="s">
        <v>6</v>
      </c>
      <c r="D711">
        <v>15</v>
      </c>
    </row>
    <row r="712" spans="1:4" x14ac:dyDescent="0.25">
      <c r="A712" s="1">
        <v>45736</v>
      </c>
      <c r="B712" s="2" t="s">
        <v>9</v>
      </c>
      <c r="C712" s="2" t="s">
        <v>7</v>
      </c>
      <c r="D712">
        <v>32</v>
      </c>
    </row>
    <row r="713" spans="1:4" x14ac:dyDescent="0.25">
      <c r="A713" s="1">
        <v>45737</v>
      </c>
      <c r="B713" s="2" t="s">
        <v>4</v>
      </c>
      <c r="C713" s="2" t="s">
        <v>5</v>
      </c>
      <c r="D713">
        <v>7</v>
      </c>
    </row>
    <row r="714" spans="1:4" x14ac:dyDescent="0.25">
      <c r="A714" s="1">
        <v>45737</v>
      </c>
      <c r="B714" s="2" t="s">
        <v>4</v>
      </c>
      <c r="C714" s="2" t="s">
        <v>6</v>
      </c>
      <c r="D714">
        <v>16</v>
      </c>
    </row>
    <row r="715" spans="1:4" x14ac:dyDescent="0.25">
      <c r="A715" s="1">
        <v>45737</v>
      </c>
      <c r="B715" s="2" t="s">
        <v>4</v>
      </c>
      <c r="C715" s="2" t="s">
        <v>7</v>
      </c>
      <c r="D715">
        <v>10</v>
      </c>
    </row>
    <row r="716" spans="1:4" x14ac:dyDescent="0.25">
      <c r="A716" s="1">
        <v>45737</v>
      </c>
      <c r="B716" s="2" t="s">
        <v>8</v>
      </c>
      <c r="C716" s="2" t="s">
        <v>5</v>
      </c>
      <c r="D716">
        <v>18</v>
      </c>
    </row>
    <row r="717" spans="1:4" x14ac:dyDescent="0.25">
      <c r="A717" s="1">
        <v>45737</v>
      </c>
      <c r="B717" s="2" t="s">
        <v>8</v>
      </c>
      <c r="C717" s="2" t="s">
        <v>6</v>
      </c>
      <c r="D717">
        <v>19</v>
      </c>
    </row>
    <row r="718" spans="1:4" x14ac:dyDescent="0.25">
      <c r="A718" s="1">
        <v>45737</v>
      </c>
      <c r="B718" s="2" t="s">
        <v>8</v>
      </c>
      <c r="C718" s="2" t="s">
        <v>7</v>
      </c>
      <c r="D718">
        <v>23</v>
      </c>
    </row>
    <row r="719" spans="1:4" x14ac:dyDescent="0.25">
      <c r="A719" s="1">
        <v>45737</v>
      </c>
      <c r="B719" s="2" t="s">
        <v>9</v>
      </c>
      <c r="C719" s="2" t="s">
        <v>5</v>
      </c>
      <c r="D719">
        <v>9</v>
      </c>
    </row>
    <row r="720" spans="1:4" x14ac:dyDescent="0.25">
      <c r="A720" s="1">
        <v>45737</v>
      </c>
      <c r="B720" s="2" t="s">
        <v>9</v>
      </c>
      <c r="C720" s="2" t="s">
        <v>6</v>
      </c>
      <c r="D720">
        <v>20</v>
      </c>
    </row>
    <row r="721" spans="1:4" x14ac:dyDescent="0.25">
      <c r="A721" s="1">
        <v>45737</v>
      </c>
      <c r="B721" s="2" t="s">
        <v>9</v>
      </c>
      <c r="C721" s="2" t="s">
        <v>7</v>
      </c>
      <c r="D721">
        <v>39</v>
      </c>
    </row>
    <row r="722" spans="1:4" x14ac:dyDescent="0.25">
      <c r="A722" s="1">
        <v>45738</v>
      </c>
      <c r="B722" s="2" t="s">
        <v>4</v>
      </c>
      <c r="C722" s="2" t="s">
        <v>5</v>
      </c>
      <c r="D722">
        <v>21</v>
      </c>
    </row>
    <row r="723" spans="1:4" x14ac:dyDescent="0.25">
      <c r="A723" s="1">
        <v>45738</v>
      </c>
      <c r="B723" s="2" t="s">
        <v>4</v>
      </c>
      <c r="C723" s="2" t="s">
        <v>6</v>
      </c>
      <c r="D723">
        <v>8</v>
      </c>
    </row>
    <row r="724" spans="1:4" x14ac:dyDescent="0.25">
      <c r="A724" s="1">
        <v>45738</v>
      </c>
      <c r="B724" s="2" t="s">
        <v>4</v>
      </c>
      <c r="C724" s="2" t="s">
        <v>7</v>
      </c>
      <c r="D724">
        <v>24</v>
      </c>
    </row>
    <row r="725" spans="1:4" x14ac:dyDescent="0.25">
      <c r="A725" s="1">
        <v>45738</v>
      </c>
      <c r="B725" s="2" t="s">
        <v>8</v>
      </c>
      <c r="C725" s="2" t="s">
        <v>5</v>
      </c>
      <c r="D725">
        <v>5</v>
      </c>
    </row>
    <row r="726" spans="1:4" x14ac:dyDescent="0.25">
      <c r="A726" s="1">
        <v>45738</v>
      </c>
      <c r="B726" s="2" t="s">
        <v>8</v>
      </c>
      <c r="C726" s="2" t="s">
        <v>6</v>
      </c>
      <c r="D726">
        <v>19</v>
      </c>
    </row>
    <row r="727" spans="1:4" x14ac:dyDescent="0.25">
      <c r="A727" s="1">
        <v>45738</v>
      </c>
      <c r="B727" s="2" t="s">
        <v>8</v>
      </c>
      <c r="C727" s="2" t="s">
        <v>7</v>
      </c>
      <c r="D727">
        <v>37</v>
      </c>
    </row>
    <row r="728" spans="1:4" x14ac:dyDescent="0.25">
      <c r="A728" s="1">
        <v>45738</v>
      </c>
      <c r="B728" s="2" t="s">
        <v>9</v>
      </c>
      <c r="C728" s="2" t="s">
        <v>5</v>
      </c>
      <c r="D728">
        <v>21</v>
      </c>
    </row>
    <row r="729" spans="1:4" x14ac:dyDescent="0.25">
      <c r="A729" s="1">
        <v>45738</v>
      </c>
      <c r="B729" s="2" t="s">
        <v>9</v>
      </c>
      <c r="C729" s="2" t="s">
        <v>6</v>
      </c>
      <c r="D729">
        <v>28</v>
      </c>
    </row>
    <row r="730" spans="1:4" x14ac:dyDescent="0.25">
      <c r="A730" s="1">
        <v>45738</v>
      </c>
      <c r="B730" s="2" t="s">
        <v>9</v>
      </c>
      <c r="C730" s="2" t="s">
        <v>7</v>
      </c>
      <c r="D730">
        <v>18</v>
      </c>
    </row>
    <row r="731" spans="1:4" x14ac:dyDescent="0.25">
      <c r="A731" s="1">
        <v>45739</v>
      </c>
      <c r="B731" s="2" t="s">
        <v>4</v>
      </c>
      <c r="C731" s="2" t="s">
        <v>5</v>
      </c>
      <c r="D731">
        <v>18</v>
      </c>
    </row>
    <row r="732" spans="1:4" x14ac:dyDescent="0.25">
      <c r="A732" s="1">
        <v>45739</v>
      </c>
      <c r="B732" s="2" t="s">
        <v>4</v>
      </c>
      <c r="C732" s="2" t="s">
        <v>6</v>
      </c>
      <c r="D732">
        <v>29</v>
      </c>
    </row>
    <row r="733" spans="1:4" x14ac:dyDescent="0.25">
      <c r="A733" s="1">
        <v>45739</v>
      </c>
      <c r="B733" s="2" t="s">
        <v>4</v>
      </c>
      <c r="C733" s="2" t="s">
        <v>7</v>
      </c>
      <c r="D733">
        <v>12</v>
      </c>
    </row>
    <row r="734" spans="1:4" x14ac:dyDescent="0.25">
      <c r="A734" s="1">
        <v>45739</v>
      </c>
      <c r="B734" s="2" t="s">
        <v>8</v>
      </c>
      <c r="C734" s="2" t="s">
        <v>5</v>
      </c>
      <c r="D734">
        <v>27</v>
      </c>
    </row>
    <row r="735" spans="1:4" x14ac:dyDescent="0.25">
      <c r="A735" s="1">
        <v>45739</v>
      </c>
      <c r="B735" s="2" t="s">
        <v>8</v>
      </c>
      <c r="C735" s="2" t="s">
        <v>6</v>
      </c>
      <c r="D735">
        <v>13</v>
      </c>
    </row>
    <row r="736" spans="1:4" x14ac:dyDescent="0.25">
      <c r="A736" s="1">
        <v>45739</v>
      </c>
      <c r="B736" s="2" t="s">
        <v>8</v>
      </c>
      <c r="C736" s="2" t="s">
        <v>7</v>
      </c>
      <c r="D736">
        <v>12</v>
      </c>
    </row>
    <row r="737" spans="1:4" x14ac:dyDescent="0.25">
      <c r="A737" s="1">
        <v>45739</v>
      </c>
      <c r="B737" s="2" t="s">
        <v>9</v>
      </c>
      <c r="C737" s="2" t="s">
        <v>5</v>
      </c>
      <c r="D737">
        <v>27</v>
      </c>
    </row>
    <row r="738" spans="1:4" x14ac:dyDescent="0.25">
      <c r="A738" s="1">
        <v>45739</v>
      </c>
      <c r="B738" s="2" t="s">
        <v>9</v>
      </c>
      <c r="C738" s="2" t="s">
        <v>6</v>
      </c>
      <c r="D738">
        <v>32</v>
      </c>
    </row>
    <row r="739" spans="1:4" x14ac:dyDescent="0.25">
      <c r="A739" s="1">
        <v>45739</v>
      </c>
      <c r="B739" s="2" t="s">
        <v>9</v>
      </c>
      <c r="C739" s="2" t="s">
        <v>7</v>
      </c>
      <c r="D739">
        <v>12</v>
      </c>
    </row>
    <row r="740" spans="1:4" x14ac:dyDescent="0.25">
      <c r="A740" s="1">
        <v>45740</v>
      </c>
      <c r="B740" s="2" t="s">
        <v>4</v>
      </c>
      <c r="C740" s="2" t="s">
        <v>5</v>
      </c>
      <c r="D740">
        <v>11</v>
      </c>
    </row>
    <row r="741" spans="1:4" x14ac:dyDescent="0.25">
      <c r="A741" s="1">
        <v>45740</v>
      </c>
      <c r="B741" s="2" t="s">
        <v>4</v>
      </c>
      <c r="C741" s="2" t="s">
        <v>6</v>
      </c>
      <c r="D741">
        <v>28</v>
      </c>
    </row>
    <row r="742" spans="1:4" x14ac:dyDescent="0.25">
      <c r="A742" s="1">
        <v>45740</v>
      </c>
      <c r="B742" s="2" t="s">
        <v>4</v>
      </c>
      <c r="C742" s="2" t="s">
        <v>7</v>
      </c>
      <c r="D742">
        <v>28</v>
      </c>
    </row>
    <row r="743" spans="1:4" x14ac:dyDescent="0.25">
      <c r="A743" s="1">
        <v>45740</v>
      </c>
      <c r="B743" s="2" t="s">
        <v>8</v>
      </c>
      <c r="C743" s="2" t="s">
        <v>5</v>
      </c>
      <c r="D743">
        <v>14</v>
      </c>
    </row>
    <row r="744" spans="1:4" x14ac:dyDescent="0.25">
      <c r="A744" s="1">
        <v>45740</v>
      </c>
      <c r="B744" s="2" t="s">
        <v>8</v>
      </c>
      <c r="C744" s="2" t="s">
        <v>6</v>
      </c>
      <c r="D744">
        <v>8</v>
      </c>
    </row>
    <row r="745" spans="1:4" x14ac:dyDescent="0.25">
      <c r="A745" s="1">
        <v>45740</v>
      </c>
      <c r="B745" s="2" t="s">
        <v>8</v>
      </c>
      <c r="C745" s="2" t="s">
        <v>7</v>
      </c>
      <c r="D745">
        <v>37</v>
      </c>
    </row>
    <row r="746" spans="1:4" x14ac:dyDescent="0.25">
      <c r="A746" s="1">
        <v>45740</v>
      </c>
      <c r="B746" s="2" t="s">
        <v>9</v>
      </c>
      <c r="C746" s="2" t="s">
        <v>5</v>
      </c>
      <c r="D746">
        <v>13</v>
      </c>
    </row>
    <row r="747" spans="1:4" x14ac:dyDescent="0.25">
      <c r="A747" s="1">
        <v>45740</v>
      </c>
      <c r="B747" s="2" t="s">
        <v>9</v>
      </c>
      <c r="C747" s="2" t="s">
        <v>6</v>
      </c>
      <c r="D747">
        <v>27</v>
      </c>
    </row>
    <row r="748" spans="1:4" x14ac:dyDescent="0.25">
      <c r="A748" s="1">
        <v>45740</v>
      </c>
      <c r="B748" s="2" t="s">
        <v>9</v>
      </c>
      <c r="C748" s="2" t="s">
        <v>7</v>
      </c>
      <c r="D748">
        <v>6</v>
      </c>
    </row>
    <row r="749" spans="1:4" x14ac:dyDescent="0.25">
      <c r="A749" s="1">
        <v>45741</v>
      </c>
      <c r="B749" s="2" t="s">
        <v>4</v>
      </c>
      <c r="C749" s="2" t="s">
        <v>5</v>
      </c>
      <c r="D749">
        <v>36</v>
      </c>
    </row>
    <row r="750" spans="1:4" x14ac:dyDescent="0.25">
      <c r="A750" s="1">
        <v>45741</v>
      </c>
      <c r="B750" s="2" t="s">
        <v>4</v>
      </c>
      <c r="C750" s="2" t="s">
        <v>6</v>
      </c>
      <c r="D750">
        <v>35</v>
      </c>
    </row>
    <row r="751" spans="1:4" x14ac:dyDescent="0.25">
      <c r="A751" s="1">
        <v>45741</v>
      </c>
      <c r="B751" s="2" t="s">
        <v>4</v>
      </c>
      <c r="C751" s="2" t="s">
        <v>7</v>
      </c>
      <c r="D751">
        <v>32</v>
      </c>
    </row>
    <row r="752" spans="1:4" x14ac:dyDescent="0.25">
      <c r="A752" s="1">
        <v>45741</v>
      </c>
      <c r="B752" s="2" t="s">
        <v>8</v>
      </c>
      <c r="C752" s="2" t="s">
        <v>5</v>
      </c>
      <c r="D752">
        <v>6</v>
      </c>
    </row>
    <row r="753" spans="1:4" x14ac:dyDescent="0.25">
      <c r="A753" s="1">
        <v>45741</v>
      </c>
      <c r="B753" s="2" t="s">
        <v>8</v>
      </c>
      <c r="C753" s="2" t="s">
        <v>6</v>
      </c>
      <c r="D753">
        <v>33</v>
      </c>
    </row>
    <row r="754" spans="1:4" x14ac:dyDescent="0.25">
      <c r="A754" s="1">
        <v>45741</v>
      </c>
      <c r="B754" s="2" t="s">
        <v>8</v>
      </c>
      <c r="C754" s="2" t="s">
        <v>7</v>
      </c>
      <c r="D754">
        <v>7</v>
      </c>
    </row>
    <row r="755" spans="1:4" x14ac:dyDescent="0.25">
      <c r="A755" s="1">
        <v>45741</v>
      </c>
      <c r="B755" s="2" t="s">
        <v>9</v>
      </c>
      <c r="C755" s="2" t="s">
        <v>5</v>
      </c>
      <c r="D755">
        <v>11</v>
      </c>
    </row>
    <row r="756" spans="1:4" x14ac:dyDescent="0.25">
      <c r="A756" s="1">
        <v>45741</v>
      </c>
      <c r="B756" s="2" t="s">
        <v>9</v>
      </c>
      <c r="C756" s="2" t="s">
        <v>6</v>
      </c>
      <c r="D756">
        <v>37</v>
      </c>
    </row>
    <row r="757" spans="1:4" x14ac:dyDescent="0.25">
      <c r="A757" s="1">
        <v>45741</v>
      </c>
      <c r="B757" s="2" t="s">
        <v>9</v>
      </c>
      <c r="C757" s="2" t="s">
        <v>7</v>
      </c>
      <c r="D757">
        <v>22</v>
      </c>
    </row>
    <row r="758" spans="1:4" x14ac:dyDescent="0.25">
      <c r="A758" s="1">
        <v>45742</v>
      </c>
      <c r="B758" s="2" t="s">
        <v>4</v>
      </c>
      <c r="C758" s="2" t="s">
        <v>5</v>
      </c>
      <c r="D758">
        <v>19</v>
      </c>
    </row>
    <row r="759" spans="1:4" x14ac:dyDescent="0.25">
      <c r="A759" s="1">
        <v>45742</v>
      </c>
      <c r="B759" s="2" t="s">
        <v>4</v>
      </c>
      <c r="C759" s="2" t="s">
        <v>6</v>
      </c>
      <c r="D759">
        <v>19</v>
      </c>
    </row>
    <row r="760" spans="1:4" x14ac:dyDescent="0.25">
      <c r="A760" s="1">
        <v>45742</v>
      </c>
      <c r="B760" s="2" t="s">
        <v>4</v>
      </c>
      <c r="C760" s="2" t="s">
        <v>7</v>
      </c>
      <c r="D760">
        <v>6</v>
      </c>
    </row>
    <row r="761" spans="1:4" x14ac:dyDescent="0.25">
      <c r="A761" s="1">
        <v>45742</v>
      </c>
      <c r="B761" s="2" t="s">
        <v>8</v>
      </c>
      <c r="C761" s="2" t="s">
        <v>5</v>
      </c>
      <c r="D761">
        <v>15</v>
      </c>
    </row>
    <row r="762" spans="1:4" x14ac:dyDescent="0.25">
      <c r="A762" s="1">
        <v>45742</v>
      </c>
      <c r="B762" s="2" t="s">
        <v>8</v>
      </c>
      <c r="C762" s="2" t="s">
        <v>6</v>
      </c>
      <c r="D762">
        <v>22</v>
      </c>
    </row>
    <row r="763" spans="1:4" x14ac:dyDescent="0.25">
      <c r="A763" s="1">
        <v>45742</v>
      </c>
      <c r="B763" s="2" t="s">
        <v>8</v>
      </c>
      <c r="C763" s="2" t="s">
        <v>7</v>
      </c>
      <c r="D763">
        <v>22</v>
      </c>
    </row>
    <row r="764" spans="1:4" x14ac:dyDescent="0.25">
      <c r="A764" s="1">
        <v>45742</v>
      </c>
      <c r="B764" s="2" t="s">
        <v>9</v>
      </c>
      <c r="C764" s="2" t="s">
        <v>5</v>
      </c>
      <c r="D764">
        <v>22</v>
      </c>
    </row>
    <row r="765" spans="1:4" x14ac:dyDescent="0.25">
      <c r="A765" s="1">
        <v>45742</v>
      </c>
      <c r="B765" s="2" t="s">
        <v>9</v>
      </c>
      <c r="C765" s="2" t="s">
        <v>6</v>
      </c>
      <c r="D765">
        <v>20</v>
      </c>
    </row>
    <row r="766" spans="1:4" x14ac:dyDescent="0.25">
      <c r="A766" s="1">
        <v>45742</v>
      </c>
      <c r="B766" s="2" t="s">
        <v>9</v>
      </c>
      <c r="C766" s="2" t="s">
        <v>7</v>
      </c>
      <c r="D766">
        <v>23</v>
      </c>
    </row>
    <row r="767" spans="1:4" x14ac:dyDescent="0.25">
      <c r="A767" s="1">
        <v>45743</v>
      </c>
      <c r="B767" s="2" t="s">
        <v>4</v>
      </c>
      <c r="C767" s="2" t="s">
        <v>5</v>
      </c>
      <c r="D767">
        <v>37</v>
      </c>
    </row>
    <row r="768" spans="1:4" x14ac:dyDescent="0.25">
      <c r="A768" s="1">
        <v>45743</v>
      </c>
      <c r="B768" s="2" t="s">
        <v>4</v>
      </c>
      <c r="C768" s="2" t="s">
        <v>6</v>
      </c>
      <c r="D768">
        <v>22</v>
      </c>
    </row>
    <row r="769" spans="1:4" x14ac:dyDescent="0.25">
      <c r="A769" s="1">
        <v>45743</v>
      </c>
      <c r="B769" s="2" t="s">
        <v>4</v>
      </c>
      <c r="C769" s="2" t="s">
        <v>7</v>
      </c>
      <c r="D769">
        <v>32</v>
      </c>
    </row>
    <row r="770" spans="1:4" x14ac:dyDescent="0.25">
      <c r="A770" s="1">
        <v>45743</v>
      </c>
      <c r="B770" s="2" t="s">
        <v>8</v>
      </c>
      <c r="C770" s="2" t="s">
        <v>5</v>
      </c>
      <c r="D770">
        <v>5</v>
      </c>
    </row>
    <row r="771" spans="1:4" x14ac:dyDescent="0.25">
      <c r="A771" s="1">
        <v>45743</v>
      </c>
      <c r="B771" s="2" t="s">
        <v>8</v>
      </c>
      <c r="C771" s="2" t="s">
        <v>6</v>
      </c>
      <c r="D771">
        <v>9</v>
      </c>
    </row>
    <row r="772" spans="1:4" x14ac:dyDescent="0.25">
      <c r="A772" s="1">
        <v>45743</v>
      </c>
      <c r="B772" s="2" t="s">
        <v>8</v>
      </c>
      <c r="C772" s="2" t="s">
        <v>7</v>
      </c>
      <c r="D772">
        <v>22</v>
      </c>
    </row>
    <row r="773" spans="1:4" x14ac:dyDescent="0.25">
      <c r="A773" s="1">
        <v>45743</v>
      </c>
      <c r="B773" s="2" t="s">
        <v>9</v>
      </c>
      <c r="C773" s="2" t="s">
        <v>5</v>
      </c>
      <c r="D773">
        <v>18</v>
      </c>
    </row>
    <row r="774" spans="1:4" x14ac:dyDescent="0.25">
      <c r="A774" s="1">
        <v>45743</v>
      </c>
      <c r="B774" s="2" t="s">
        <v>9</v>
      </c>
      <c r="C774" s="2" t="s">
        <v>6</v>
      </c>
      <c r="D774">
        <v>39</v>
      </c>
    </row>
    <row r="775" spans="1:4" x14ac:dyDescent="0.25">
      <c r="A775" s="1">
        <v>45743</v>
      </c>
      <c r="B775" s="2" t="s">
        <v>9</v>
      </c>
      <c r="C775" s="2" t="s">
        <v>7</v>
      </c>
      <c r="D775">
        <v>14</v>
      </c>
    </row>
    <row r="776" spans="1:4" x14ac:dyDescent="0.25">
      <c r="A776" s="1">
        <v>45744</v>
      </c>
      <c r="B776" s="2" t="s">
        <v>4</v>
      </c>
      <c r="C776" s="2" t="s">
        <v>5</v>
      </c>
      <c r="D776">
        <v>17</v>
      </c>
    </row>
    <row r="777" spans="1:4" x14ac:dyDescent="0.25">
      <c r="A777" s="1">
        <v>45744</v>
      </c>
      <c r="B777" s="2" t="s">
        <v>4</v>
      </c>
      <c r="C777" s="2" t="s">
        <v>6</v>
      </c>
      <c r="D777">
        <v>24</v>
      </c>
    </row>
    <row r="778" spans="1:4" x14ac:dyDescent="0.25">
      <c r="A778" s="1">
        <v>45744</v>
      </c>
      <c r="B778" s="2" t="s">
        <v>4</v>
      </c>
      <c r="C778" s="2" t="s">
        <v>7</v>
      </c>
      <c r="D778">
        <v>28</v>
      </c>
    </row>
    <row r="779" spans="1:4" x14ac:dyDescent="0.25">
      <c r="A779" s="1">
        <v>45744</v>
      </c>
      <c r="B779" s="2" t="s">
        <v>8</v>
      </c>
      <c r="C779" s="2" t="s">
        <v>5</v>
      </c>
      <c r="D779">
        <v>10</v>
      </c>
    </row>
    <row r="780" spans="1:4" x14ac:dyDescent="0.25">
      <c r="A780" s="1">
        <v>45744</v>
      </c>
      <c r="B780" s="2" t="s">
        <v>8</v>
      </c>
      <c r="C780" s="2" t="s">
        <v>6</v>
      </c>
      <c r="D780">
        <v>10</v>
      </c>
    </row>
    <row r="781" spans="1:4" x14ac:dyDescent="0.25">
      <c r="A781" s="1">
        <v>45744</v>
      </c>
      <c r="B781" s="2" t="s">
        <v>8</v>
      </c>
      <c r="C781" s="2" t="s">
        <v>7</v>
      </c>
      <c r="D781">
        <v>25</v>
      </c>
    </row>
    <row r="782" spans="1:4" x14ac:dyDescent="0.25">
      <c r="A782" s="1">
        <v>45744</v>
      </c>
      <c r="B782" s="2" t="s">
        <v>9</v>
      </c>
      <c r="C782" s="2" t="s">
        <v>5</v>
      </c>
      <c r="D782">
        <v>7</v>
      </c>
    </row>
    <row r="783" spans="1:4" x14ac:dyDescent="0.25">
      <c r="A783" s="1">
        <v>45744</v>
      </c>
      <c r="B783" s="2" t="s">
        <v>9</v>
      </c>
      <c r="C783" s="2" t="s">
        <v>6</v>
      </c>
      <c r="D783">
        <v>14</v>
      </c>
    </row>
    <row r="784" spans="1:4" x14ac:dyDescent="0.25">
      <c r="A784" s="1">
        <v>45744</v>
      </c>
      <c r="B784" s="2" t="s">
        <v>9</v>
      </c>
      <c r="C784" s="2" t="s">
        <v>7</v>
      </c>
      <c r="D784">
        <v>38</v>
      </c>
    </row>
    <row r="785" spans="1:4" x14ac:dyDescent="0.25">
      <c r="A785" s="1">
        <v>45745</v>
      </c>
      <c r="B785" s="2" t="s">
        <v>4</v>
      </c>
      <c r="C785" s="2" t="s">
        <v>5</v>
      </c>
      <c r="D785">
        <v>24</v>
      </c>
    </row>
    <row r="786" spans="1:4" x14ac:dyDescent="0.25">
      <c r="A786" s="1">
        <v>45745</v>
      </c>
      <c r="B786" s="2" t="s">
        <v>4</v>
      </c>
      <c r="C786" s="2" t="s">
        <v>6</v>
      </c>
      <c r="D786">
        <v>17</v>
      </c>
    </row>
    <row r="787" spans="1:4" x14ac:dyDescent="0.25">
      <c r="A787" s="1">
        <v>45745</v>
      </c>
      <c r="B787" s="2" t="s">
        <v>4</v>
      </c>
      <c r="C787" s="2" t="s">
        <v>7</v>
      </c>
      <c r="D787">
        <v>16</v>
      </c>
    </row>
    <row r="788" spans="1:4" x14ac:dyDescent="0.25">
      <c r="A788" s="1">
        <v>45745</v>
      </c>
      <c r="B788" s="2" t="s">
        <v>8</v>
      </c>
      <c r="C788" s="2" t="s">
        <v>5</v>
      </c>
      <c r="D788">
        <v>25</v>
      </c>
    </row>
    <row r="789" spans="1:4" x14ac:dyDescent="0.25">
      <c r="A789" s="1">
        <v>45745</v>
      </c>
      <c r="B789" s="2" t="s">
        <v>8</v>
      </c>
      <c r="C789" s="2" t="s">
        <v>6</v>
      </c>
      <c r="D789">
        <v>16</v>
      </c>
    </row>
    <row r="790" spans="1:4" x14ac:dyDescent="0.25">
      <c r="A790" s="1">
        <v>45745</v>
      </c>
      <c r="B790" s="2" t="s">
        <v>8</v>
      </c>
      <c r="C790" s="2" t="s">
        <v>7</v>
      </c>
      <c r="D790">
        <v>38</v>
      </c>
    </row>
    <row r="791" spans="1:4" x14ac:dyDescent="0.25">
      <c r="A791" s="1">
        <v>45745</v>
      </c>
      <c r="B791" s="2" t="s">
        <v>9</v>
      </c>
      <c r="C791" s="2" t="s">
        <v>5</v>
      </c>
      <c r="D791">
        <v>6</v>
      </c>
    </row>
    <row r="792" spans="1:4" x14ac:dyDescent="0.25">
      <c r="A792" s="1">
        <v>45745</v>
      </c>
      <c r="B792" s="2" t="s">
        <v>9</v>
      </c>
      <c r="C792" s="2" t="s">
        <v>6</v>
      </c>
      <c r="D792">
        <v>25</v>
      </c>
    </row>
    <row r="793" spans="1:4" x14ac:dyDescent="0.25">
      <c r="A793" s="1">
        <v>45745</v>
      </c>
      <c r="B793" s="2" t="s">
        <v>9</v>
      </c>
      <c r="C793" s="2" t="s">
        <v>7</v>
      </c>
      <c r="D793">
        <v>26</v>
      </c>
    </row>
    <row r="794" spans="1:4" x14ac:dyDescent="0.25">
      <c r="A794" s="1">
        <v>45746</v>
      </c>
      <c r="B794" s="2" t="s">
        <v>4</v>
      </c>
      <c r="C794" s="2" t="s">
        <v>5</v>
      </c>
      <c r="D794">
        <v>7</v>
      </c>
    </row>
    <row r="795" spans="1:4" x14ac:dyDescent="0.25">
      <c r="A795" s="1">
        <v>45746</v>
      </c>
      <c r="B795" s="2" t="s">
        <v>4</v>
      </c>
      <c r="C795" s="2" t="s">
        <v>6</v>
      </c>
      <c r="D795">
        <v>35</v>
      </c>
    </row>
    <row r="796" spans="1:4" x14ac:dyDescent="0.25">
      <c r="A796" s="1">
        <v>45746</v>
      </c>
      <c r="B796" s="2" t="s">
        <v>4</v>
      </c>
      <c r="C796" s="2" t="s">
        <v>7</v>
      </c>
      <c r="D796">
        <v>35</v>
      </c>
    </row>
    <row r="797" spans="1:4" x14ac:dyDescent="0.25">
      <c r="A797" s="1">
        <v>45746</v>
      </c>
      <c r="B797" s="2" t="s">
        <v>8</v>
      </c>
      <c r="C797" s="2" t="s">
        <v>5</v>
      </c>
      <c r="D797">
        <v>20</v>
      </c>
    </row>
    <row r="798" spans="1:4" x14ac:dyDescent="0.25">
      <c r="A798" s="1">
        <v>45746</v>
      </c>
      <c r="B798" s="2" t="s">
        <v>8</v>
      </c>
      <c r="C798" s="2" t="s">
        <v>6</v>
      </c>
      <c r="D798">
        <v>18</v>
      </c>
    </row>
    <row r="799" spans="1:4" x14ac:dyDescent="0.25">
      <c r="A799" s="1">
        <v>45746</v>
      </c>
      <c r="B799" s="2" t="s">
        <v>8</v>
      </c>
      <c r="C799" s="2" t="s">
        <v>7</v>
      </c>
      <c r="D799">
        <v>17</v>
      </c>
    </row>
    <row r="800" spans="1:4" x14ac:dyDescent="0.25">
      <c r="A800" s="1">
        <v>45746</v>
      </c>
      <c r="B800" s="2" t="s">
        <v>9</v>
      </c>
      <c r="C800" s="2" t="s">
        <v>5</v>
      </c>
      <c r="D800">
        <v>13</v>
      </c>
    </row>
    <row r="801" spans="1:4" x14ac:dyDescent="0.25">
      <c r="A801" s="1">
        <v>45746</v>
      </c>
      <c r="B801" s="2" t="s">
        <v>9</v>
      </c>
      <c r="C801" s="2" t="s">
        <v>6</v>
      </c>
      <c r="D801">
        <v>39</v>
      </c>
    </row>
    <row r="802" spans="1:4" x14ac:dyDescent="0.25">
      <c r="A802" s="1">
        <v>45746</v>
      </c>
      <c r="B802" s="2" t="s">
        <v>9</v>
      </c>
      <c r="C802" s="2" t="s">
        <v>7</v>
      </c>
      <c r="D802">
        <v>6</v>
      </c>
    </row>
    <row r="803" spans="1:4" x14ac:dyDescent="0.25">
      <c r="A803" s="1">
        <v>45747</v>
      </c>
      <c r="B803" s="2" t="s">
        <v>4</v>
      </c>
      <c r="C803" s="2" t="s">
        <v>5</v>
      </c>
      <c r="D803">
        <v>26</v>
      </c>
    </row>
    <row r="804" spans="1:4" x14ac:dyDescent="0.25">
      <c r="A804" s="1">
        <v>45747</v>
      </c>
      <c r="B804" s="2" t="s">
        <v>4</v>
      </c>
      <c r="C804" s="2" t="s">
        <v>6</v>
      </c>
      <c r="D804">
        <v>40</v>
      </c>
    </row>
    <row r="805" spans="1:4" x14ac:dyDescent="0.25">
      <c r="A805" s="1">
        <v>45747</v>
      </c>
      <c r="B805" s="2" t="s">
        <v>4</v>
      </c>
      <c r="C805" s="2" t="s">
        <v>7</v>
      </c>
      <c r="D805">
        <v>10</v>
      </c>
    </row>
    <row r="806" spans="1:4" x14ac:dyDescent="0.25">
      <c r="A806" s="1">
        <v>45747</v>
      </c>
      <c r="B806" s="2" t="s">
        <v>8</v>
      </c>
      <c r="C806" s="2" t="s">
        <v>5</v>
      </c>
      <c r="D806">
        <v>33</v>
      </c>
    </row>
    <row r="807" spans="1:4" x14ac:dyDescent="0.25">
      <c r="A807" s="1">
        <v>45747</v>
      </c>
      <c r="B807" s="2" t="s">
        <v>8</v>
      </c>
      <c r="C807" s="2" t="s">
        <v>6</v>
      </c>
      <c r="D807">
        <v>39</v>
      </c>
    </row>
    <row r="808" spans="1:4" x14ac:dyDescent="0.25">
      <c r="A808" s="1">
        <v>45747</v>
      </c>
      <c r="B808" s="2" t="s">
        <v>8</v>
      </c>
      <c r="C808" s="2" t="s">
        <v>7</v>
      </c>
      <c r="D808">
        <v>30</v>
      </c>
    </row>
    <row r="809" spans="1:4" x14ac:dyDescent="0.25">
      <c r="A809" s="1">
        <v>45747</v>
      </c>
      <c r="B809" s="2" t="s">
        <v>9</v>
      </c>
      <c r="C809" s="2" t="s">
        <v>5</v>
      </c>
      <c r="D809">
        <v>6</v>
      </c>
    </row>
    <row r="810" spans="1:4" x14ac:dyDescent="0.25">
      <c r="A810" s="1">
        <v>45747</v>
      </c>
      <c r="B810" s="2" t="s">
        <v>9</v>
      </c>
      <c r="C810" s="2" t="s">
        <v>6</v>
      </c>
      <c r="D810">
        <v>33</v>
      </c>
    </row>
    <row r="811" spans="1:4" x14ac:dyDescent="0.25">
      <c r="A811" s="1">
        <v>45747</v>
      </c>
      <c r="B811" s="2" t="s">
        <v>9</v>
      </c>
      <c r="C811" s="2" t="s">
        <v>7</v>
      </c>
      <c r="D811">
        <v>29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C30BA-2CDA-48BD-B463-3AC264C5838C}">
  <dimension ref="A3:C37"/>
  <sheetViews>
    <sheetView tabSelected="1" workbookViewId="0">
      <selection activeCell="B18" sqref="B18"/>
    </sheetView>
  </sheetViews>
  <sheetFormatPr defaultRowHeight="15" x14ac:dyDescent="0.25"/>
  <cols>
    <col min="1" max="1" width="13.42578125" bestFit="1" customWidth="1"/>
    <col min="2" max="2" width="13.5703125" bestFit="1" customWidth="1"/>
    <col min="3" max="3" width="15.7109375" bestFit="1" customWidth="1"/>
    <col min="4" max="4" width="9.5703125" bestFit="1" customWidth="1"/>
    <col min="5" max="5" width="11.28515625" bestFit="1" customWidth="1"/>
    <col min="6" max="6" width="15.7109375" bestFit="1" customWidth="1"/>
    <col min="7" max="7" width="12.5703125" bestFit="1" customWidth="1"/>
    <col min="8" max="8" width="20.7109375" bestFit="1" customWidth="1"/>
    <col min="9" max="9" width="17.7109375" bestFit="1" customWidth="1"/>
    <col min="10" max="14" width="12" bestFit="1" customWidth="1"/>
  </cols>
  <sheetData>
    <row r="3" spans="1:3" x14ac:dyDescent="0.25">
      <c r="A3" s="3" t="s">
        <v>1</v>
      </c>
      <c r="B3" s="3" t="s">
        <v>2</v>
      </c>
      <c r="C3" t="s">
        <v>19</v>
      </c>
    </row>
    <row r="4" spans="1:3" x14ac:dyDescent="0.25">
      <c r="A4" t="s">
        <v>4</v>
      </c>
      <c r="B4" t="s">
        <v>5</v>
      </c>
      <c r="C4" s="4">
        <v>22.455555555555556</v>
      </c>
    </row>
    <row r="5" spans="1:3" x14ac:dyDescent="0.25">
      <c r="A5" t="s">
        <v>4</v>
      </c>
      <c r="B5" t="s">
        <v>6</v>
      </c>
      <c r="C5" s="4">
        <v>23.522222222222222</v>
      </c>
    </row>
    <row r="6" spans="1:3" x14ac:dyDescent="0.25">
      <c r="A6" t="s">
        <v>4</v>
      </c>
      <c r="B6" t="s">
        <v>7</v>
      </c>
      <c r="C6" s="4">
        <v>22.322222222222223</v>
      </c>
    </row>
    <row r="7" spans="1:3" x14ac:dyDescent="0.25">
      <c r="A7" t="s">
        <v>8</v>
      </c>
      <c r="B7" t="s">
        <v>5</v>
      </c>
      <c r="C7" s="4">
        <v>20.711111111111112</v>
      </c>
    </row>
    <row r="8" spans="1:3" x14ac:dyDescent="0.25">
      <c r="A8" t="s">
        <v>8</v>
      </c>
      <c r="B8" t="s">
        <v>6</v>
      </c>
      <c r="C8" s="4">
        <v>20.488888888888887</v>
      </c>
    </row>
    <row r="9" spans="1:3" x14ac:dyDescent="0.25">
      <c r="A9" t="s">
        <v>8</v>
      </c>
      <c r="B9" t="s">
        <v>7</v>
      </c>
      <c r="C9" s="4">
        <v>22.155555555555555</v>
      </c>
    </row>
    <row r="10" spans="1:3" x14ac:dyDescent="0.25">
      <c r="A10" t="s">
        <v>9</v>
      </c>
      <c r="B10" t="s">
        <v>5</v>
      </c>
      <c r="C10" s="4">
        <v>21.555555555555557</v>
      </c>
    </row>
    <row r="11" spans="1:3" x14ac:dyDescent="0.25">
      <c r="A11" t="s">
        <v>9</v>
      </c>
      <c r="B11" t="s">
        <v>6</v>
      </c>
      <c r="C11" s="4">
        <v>22.788888888888888</v>
      </c>
    </row>
    <row r="12" spans="1:3" x14ac:dyDescent="0.25">
      <c r="A12" t="s">
        <v>9</v>
      </c>
      <c r="B12" t="s">
        <v>7</v>
      </c>
      <c r="C12" s="4">
        <v>22.888888888888889</v>
      </c>
    </row>
    <row r="13" spans="1:3" x14ac:dyDescent="0.25">
      <c r="A13" t="s">
        <v>10</v>
      </c>
      <c r="C13" s="4">
        <v>22.098765432098766</v>
      </c>
    </row>
    <row r="36" ht="7.5" customHeight="1" x14ac:dyDescent="0.25"/>
    <row r="37" hidden="1" x14ac:dyDescent="0.25"/>
  </sheetData>
  <pageMargins left="0.7" right="0.7" top="0.75" bottom="0.75" header="0.3" footer="0.3"/>
  <pageSetup paperSize="9" orientation="portrait" verticalDpi="0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workbookViewId="0">
      <selection activeCell="C15" sqref="C15"/>
    </sheetView>
  </sheetViews>
  <sheetFormatPr defaultRowHeight="15" x14ac:dyDescent="0.25"/>
  <cols>
    <col min="1" max="1" width="9.85546875" customWidth="1"/>
    <col min="2" max="2" width="11" customWidth="1"/>
    <col min="3" max="3" width="12.140625" style="4" customWidth="1"/>
    <col min="4" max="4" width="11.85546875" customWidth="1"/>
    <col min="5" max="5" width="13.85546875" customWidth="1"/>
    <col min="6" max="6" width="11.42578125" customWidth="1"/>
    <col min="7" max="7" width="11.140625" customWidth="1"/>
    <col min="8" max="8" width="11.28515625" customWidth="1"/>
    <col min="9" max="9" width="12" customWidth="1"/>
  </cols>
  <sheetData>
    <row r="1" spans="1:9" ht="18.75" x14ac:dyDescent="0.3">
      <c r="A1" s="14" t="s">
        <v>11</v>
      </c>
      <c r="B1" s="15"/>
      <c r="C1" s="15"/>
      <c r="D1" s="15"/>
      <c r="E1" s="15"/>
      <c r="F1" s="15"/>
      <c r="G1" s="15"/>
      <c r="H1" s="15"/>
      <c r="I1" s="15"/>
    </row>
    <row r="2" spans="1:9" x14ac:dyDescent="0.25">
      <c r="A2" s="10"/>
      <c r="B2" s="11"/>
      <c r="C2" s="11"/>
      <c r="D2" s="11"/>
      <c r="E2" s="11"/>
      <c r="F2" s="11"/>
      <c r="G2" s="11"/>
      <c r="H2" s="13"/>
      <c r="I2" s="11"/>
    </row>
    <row r="4" spans="1:9" ht="30" x14ac:dyDescent="0.25">
      <c r="A4" s="5" t="s">
        <v>1</v>
      </c>
      <c r="B4" s="5" t="s">
        <v>2</v>
      </c>
      <c r="C4" s="8" t="s">
        <v>12</v>
      </c>
      <c r="D4" s="5" t="s">
        <v>13</v>
      </c>
      <c r="E4" s="5" t="s">
        <v>14</v>
      </c>
      <c r="F4" s="5" t="s">
        <v>15</v>
      </c>
      <c r="G4" s="5" t="s">
        <v>16</v>
      </c>
      <c r="H4" s="5" t="s">
        <v>17</v>
      </c>
      <c r="I4" s="5" t="s">
        <v>18</v>
      </c>
    </row>
    <row r="5" spans="1:9" x14ac:dyDescent="0.25">
      <c r="A5" t="s">
        <v>4</v>
      </c>
      <c r="B5" t="s">
        <v>5</v>
      </c>
      <c r="C5" s="4">
        <v>22.455555555555556</v>
      </c>
      <c r="D5" s="12">
        <v>5</v>
      </c>
      <c r="E5" s="9">
        <f>ForecastTable[[#This Row],[Avg Daily Sales]]*2</f>
        <v>44.911111111111111</v>
      </c>
      <c r="F5" s="6">
        <f>ROUND(ForecastTable[[#This Row],[Avg Daily Sales]]*ForecastTable[[#This Row],[Lead Time (days)]]+ForecastTable[[#This Row],[Safety Stock]],0)</f>
        <v>157</v>
      </c>
      <c r="G5" s="12">
        <f>ROUND($C5*15,0)</f>
        <v>337</v>
      </c>
      <c r="H5" s="6" t="str">
        <f>IF(ForecastTable[[#This Row],[Current Stock]]&lt;=ForecastTable[[#This Row],[ROP]],"ORDER","OK")</f>
        <v>OK</v>
      </c>
      <c r="I5" s="6">
        <f>ROUND(ForecastTable[[#This Row],[Avg Daily Sales]]*7,0)</f>
        <v>157</v>
      </c>
    </row>
    <row r="6" spans="1:9" x14ac:dyDescent="0.25">
      <c r="A6" t="s">
        <v>4</v>
      </c>
      <c r="B6" t="s">
        <v>6</v>
      </c>
      <c r="C6" s="4">
        <v>23.522222222222222</v>
      </c>
      <c r="D6" s="12">
        <v>5</v>
      </c>
      <c r="E6" s="9">
        <f>ForecastTable[[#This Row],[Avg Daily Sales]]*2</f>
        <v>47.044444444444444</v>
      </c>
      <c r="F6" s="6">
        <f>ROUND(ForecastTable[[#This Row],[Avg Daily Sales]]*ForecastTable[[#This Row],[Lead Time (days)]]+ForecastTable[[#This Row],[Safety Stock]],0)</f>
        <v>165</v>
      </c>
      <c r="G6" s="12">
        <f>ROUND($C6*12,0)</f>
        <v>282</v>
      </c>
      <c r="H6" s="6" t="str">
        <f>IF(ForecastTable[[#This Row],[Current Stock]]&lt;=ForecastTable[[#This Row],[ROP]],"ORDER","OK")</f>
        <v>OK</v>
      </c>
      <c r="I6" s="6">
        <f>ROUND(ForecastTable[[#This Row],[Avg Daily Sales]]*7,0)</f>
        <v>165</v>
      </c>
    </row>
    <row r="7" spans="1:9" x14ac:dyDescent="0.25">
      <c r="A7" t="s">
        <v>4</v>
      </c>
      <c r="B7" t="s">
        <v>7</v>
      </c>
      <c r="C7" s="4">
        <v>22.322222222222223</v>
      </c>
      <c r="D7" s="12">
        <v>5</v>
      </c>
      <c r="E7" s="9">
        <f>ForecastTable[[#This Row],[Avg Daily Sales]]*2</f>
        <v>44.644444444444446</v>
      </c>
      <c r="F7" s="6">
        <f>ROUND(ForecastTable[[#This Row],[Avg Daily Sales]]*ForecastTable[[#This Row],[Lead Time (days)]]+ForecastTable[[#This Row],[Safety Stock]],0)</f>
        <v>156</v>
      </c>
      <c r="G7" s="12">
        <f>ROUND($C7*16,0)</f>
        <v>357</v>
      </c>
      <c r="H7" s="6" t="str">
        <f>IF(ForecastTable[[#This Row],[Current Stock]]&lt;=ForecastTable[[#This Row],[ROP]],"ORDER","OK")</f>
        <v>OK</v>
      </c>
      <c r="I7" s="6">
        <f>ROUND(ForecastTable[[#This Row],[Avg Daily Sales]]*7,0)</f>
        <v>156</v>
      </c>
    </row>
    <row r="8" spans="1:9" x14ac:dyDescent="0.25">
      <c r="A8" t="s">
        <v>8</v>
      </c>
      <c r="B8" t="s">
        <v>5</v>
      </c>
      <c r="C8" s="4">
        <v>20.711111111111112</v>
      </c>
      <c r="D8" s="12">
        <v>5</v>
      </c>
      <c r="E8" s="9">
        <f>ForecastTable[[#This Row],[Avg Daily Sales]]*2</f>
        <v>41.422222222222224</v>
      </c>
      <c r="F8" s="6">
        <f>ROUND(ForecastTable[[#This Row],[Avg Daily Sales]]*ForecastTable[[#This Row],[Lead Time (days)]]+ForecastTable[[#This Row],[Safety Stock]],0)</f>
        <v>145</v>
      </c>
      <c r="G8" s="12">
        <f>ROUND($C8*10,0)</f>
        <v>207</v>
      </c>
      <c r="H8" s="6" t="str">
        <f>IF(ForecastTable[[#This Row],[Current Stock]]&lt;=ForecastTable[[#This Row],[ROP]],"ORDER","OK")</f>
        <v>OK</v>
      </c>
      <c r="I8" s="6">
        <f>ROUND(ForecastTable[[#This Row],[Avg Daily Sales]]*7,0)</f>
        <v>145</v>
      </c>
    </row>
    <row r="9" spans="1:9" x14ac:dyDescent="0.25">
      <c r="A9" t="s">
        <v>8</v>
      </c>
      <c r="B9" t="s">
        <v>6</v>
      </c>
      <c r="C9" s="4">
        <v>20.488888888888887</v>
      </c>
      <c r="D9" s="12">
        <v>5</v>
      </c>
      <c r="E9" s="9">
        <f>ForecastTable[[#This Row],[Avg Daily Sales]]*2</f>
        <v>40.977777777777774</v>
      </c>
      <c r="F9" s="6">
        <f>ROUND(ForecastTable[[#This Row],[Avg Daily Sales]]*ForecastTable[[#This Row],[Lead Time (days)]]+ForecastTable[[#This Row],[Safety Stock]],0)</f>
        <v>143</v>
      </c>
      <c r="G9" s="12">
        <f>ROUND($C9*11,0)</f>
        <v>225</v>
      </c>
      <c r="H9" s="6" t="str">
        <f>IF(ForecastTable[[#This Row],[Current Stock]]&lt;=ForecastTable[[#This Row],[ROP]],"ORDER","OK")</f>
        <v>OK</v>
      </c>
      <c r="I9" s="6">
        <f>ROUND(ForecastTable[[#This Row],[Avg Daily Sales]]*7,0)</f>
        <v>143</v>
      </c>
    </row>
    <row r="10" spans="1:9" x14ac:dyDescent="0.25">
      <c r="A10" t="s">
        <v>8</v>
      </c>
      <c r="B10" t="s">
        <v>7</v>
      </c>
      <c r="C10" s="4">
        <v>22.155555555555555</v>
      </c>
      <c r="D10" s="12">
        <v>5</v>
      </c>
      <c r="E10" s="9">
        <f>ForecastTable[[#This Row],[Avg Daily Sales]]*2</f>
        <v>44.31111111111111</v>
      </c>
      <c r="F10" s="6">
        <f>ROUND(ForecastTable[[#This Row],[Avg Daily Sales]]*ForecastTable[[#This Row],[Lead Time (days)]]+ForecastTable[[#This Row],[Safety Stock]],0)</f>
        <v>155</v>
      </c>
      <c r="G10" s="12">
        <f>ROUND($C10*18,0)</f>
        <v>399</v>
      </c>
      <c r="H10" s="6" t="str">
        <f>IF(ForecastTable[[#This Row],[Current Stock]]&lt;=ForecastTable[[#This Row],[ROP]],"ORDER","OK")</f>
        <v>OK</v>
      </c>
      <c r="I10" s="6">
        <f>ROUND(ForecastTable[[#This Row],[Avg Daily Sales]]*7,0)</f>
        <v>155</v>
      </c>
    </row>
    <row r="11" spans="1:9" x14ac:dyDescent="0.25">
      <c r="A11" t="s">
        <v>9</v>
      </c>
      <c r="B11" t="s">
        <v>5</v>
      </c>
      <c r="C11" s="4">
        <v>21.555555555555557</v>
      </c>
      <c r="D11" s="12">
        <v>5</v>
      </c>
      <c r="E11" s="9">
        <f>ForecastTable[[#This Row],[Avg Daily Sales]]*2</f>
        <v>43.111111111111114</v>
      </c>
      <c r="F11" s="6">
        <f>ROUND(ForecastTable[[#This Row],[Avg Daily Sales]]*ForecastTable[[#This Row],[Lead Time (days)]]+ForecastTable[[#This Row],[Safety Stock]],0)</f>
        <v>151</v>
      </c>
      <c r="G11" s="12">
        <f>ROUND($C11*11,0)</f>
        <v>237</v>
      </c>
      <c r="H11" s="6" t="str">
        <f>IF(ForecastTable[[#This Row],[Current Stock]]&lt;=ForecastTable[[#This Row],[ROP]],"ORDER","OK")</f>
        <v>OK</v>
      </c>
      <c r="I11" s="6">
        <f>ROUND(ForecastTable[[#This Row],[Avg Daily Sales]]*7,0)</f>
        <v>151</v>
      </c>
    </row>
    <row r="12" spans="1:9" x14ac:dyDescent="0.25">
      <c r="A12" t="s">
        <v>9</v>
      </c>
      <c r="B12" t="s">
        <v>6</v>
      </c>
      <c r="C12" s="4">
        <v>22.788888888888888</v>
      </c>
      <c r="D12" s="12">
        <v>5</v>
      </c>
      <c r="E12" s="9">
        <f>ForecastTable[[#This Row],[Avg Daily Sales]]*2</f>
        <v>45.577777777777776</v>
      </c>
      <c r="F12" s="6">
        <f>ROUND(ForecastTable[[#This Row],[Avg Daily Sales]]*ForecastTable[[#This Row],[Lead Time (days)]]+ForecastTable[[#This Row],[Safety Stock]],0)</f>
        <v>160</v>
      </c>
      <c r="G12" s="12">
        <f>ROUND($C12*15,0)</f>
        <v>342</v>
      </c>
      <c r="H12" s="6" t="str">
        <f>IF(ForecastTable[[#This Row],[Current Stock]]&lt;=ForecastTable[[#This Row],[ROP]],"ORDER","OK")</f>
        <v>OK</v>
      </c>
      <c r="I12" s="6">
        <f>ROUND(ForecastTable[[#This Row],[Avg Daily Sales]]*7,0)</f>
        <v>160</v>
      </c>
    </row>
    <row r="13" spans="1:9" x14ac:dyDescent="0.25">
      <c r="A13" t="s">
        <v>9</v>
      </c>
      <c r="B13" t="s">
        <v>7</v>
      </c>
      <c r="C13" s="4">
        <v>22.888888888888889</v>
      </c>
      <c r="D13" s="12">
        <v>5</v>
      </c>
      <c r="E13" s="9">
        <f>ForecastTable[[#This Row],[Avg Daily Sales]]*2</f>
        <v>45.777777777777779</v>
      </c>
      <c r="F13" s="6">
        <f>ROUND(ForecastTable[[#This Row],[Avg Daily Sales]]*ForecastTable[[#This Row],[Lead Time (days)]]+ForecastTable[[#This Row],[Safety Stock]],0)</f>
        <v>160</v>
      </c>
      <c r="G13" s="12">
        <f>ROUND($C13*10,0)</f>
        <v>229</v>
      </c>
      <c r="H13" s="6" t="str">
        <f>IF(ForecastTable[[#This Row],[Current Stock]]&lt;=ForecastTable[[#This Row],[ROP]],"ORDER","OK")</f>
        <v>OK</v>
      </c>
      <c r="I13" s="6">
        <f>ROUND(ForecastTable[[#This Row],[Avg Daily Sales]]*7,0)</f>
        <v>160</v>
      </c>
    </row>
    <row r="14" spans="1:9" x14ac:dyDescent="0.25">
      <c r="A14" s="6"/>
      <c r="B14" s="6"/>
      <c r="C14" s="9"/>
      <c r="D14" s="7"/>
      <c r="E14" s="6"/>
      <c r="F14" s="6"/>
      <c r="G14" s="7"/>
      <c r="H14" s="6"/>
      <c r="I14" s="6"/>
    </row>
    <row r="15" spans="1:9" x14ac:dyDescent="0.25">
      <c r="A15" s="6"/>
      <c r="B15" s="6"/>
      <c r="C15" s="9"/>
      <c r="D15" s="7"/>
      <c r="E15" s="6"/>
      <c r="F15" s="6"/>
      <c r="G15" s="7"/>
      <c r="H15" s="6"/>
      <c r="I15" s="6"/>
    </row>
    <row r="16" spans="1:9" x14ac:dyDescent="0.25">
      <c r="A16" s="6"/>
      <c r="B16" s="6"/>
      <c r="C16" s="9"/>
      <c r="D16" s="7"/>
      <c r="E16" s="6"/>
      <c r="F16" s="6"/>
      <c r="G16" s="7"/>
      <c r="H16" s="6"/>
      <c r="I16" s="6"/>
    </row>
    <row r="17" spans="1:9" x14ac:dyDescent="0.25">
      <c r="A17" s="6"/>
      <c r="B17" s="6"/>
      <c r="C17" s="9"/>
      <c r="D17" s="7"/>
      <c r="E17" s="6"/>
      <c r="F17" s="6"/>
      <c r="G17" s="7"/>
      <c r="H17" s="6"/>
      <c r="I17" s="6"/>
    </row>
    <row r="18" spans="1:9" x14ac:dyDescent="0.25">
      <c r="A18" s="6"/>
      <c r="B18" s="6"/>
      <c r="C18" s="9"/>
      <c r="D18" s="7"/>
      <c r="E18" s="6"/>
      <c r="F18" s="6"/>
      <c r="G18" s="7"/>
      <c r="H18" s="6"/>
      <c r="I18" s="6"/>
    </row>
    <row r="19" spans="1:9" x14ac:dyDescent="0.25">
      <c r="A19" s="6"/>
      <c r="B19" s="6"/>
      <c r="C19" s="9"/>
      <c r="D19" s="7"/>
      <c r="E19" s="6"/>
      <c r="F19" s="6"/>
      <c r="G19" s="7"/>
      <c r="H19" s="6"/>
      <c r="I19" s="6"/>
    </row>
  </sheetData>
  <mergeCells count="1">
    <mergeCell ref="A1:I1"/>
  </mergeCells>
  <phoneticPr fontId="4" type="noConversion"/>
  <conditionalFormatting sqref="H1:H1048576">
    <cfRule type="containsText" dxfId="0" priority="4" operator="containsText" text="OK">
      <formula>NOT(ISERROR(SEARCH("OK",H1)))</formula>
    </cfRule>
    <cfRule type="containsText" dxfId="1" priority="3" operator="containsText" text="OK">
      <formula>NOT(ISERROR(SEARCH("OK",H1)))</formula>
    </cfRule>
    <cfRule type="containsText" dxfId="2" priority="2" operator="containsText" text="OK">
      <formula>NOT(ISERROR(SEARCH("OK",H1)))</formula>
    </cfRule>
    <cfRule type="containsText" dxfId="3" priority="1" operator="containsText" text="ORDER">
      <formula>NOT(ISERROR(SEARCH("ORDER",H1)))</formula>
    </cfRule>
  </conditionalFormatting>
  <pageMargins left="0.7" right="0.7" top="0.75" bottom="0.75" header="0.3" footer="0.3"/>
  <ignoredErrors>
    <ignoredError sqref="C5:I9 C11:I13 C10:F10 H10:I10" calculatedColumn="1"/>
    <ignoredError sqref="G10" formula="1" calculatedColumn="1"/>
  </ignoredErrors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13C946A-F94D-4D56-A6E0-9C60756C24E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SalesTable</vt:lpstr>
      <vt:lpstr>avg_sales_daily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Beg</dc:creator>
  <cp:lastModifiedBy>beg bayramov</cp:lastModifiedBy>
  <dcterms:created xsi:type="dcterms:W3CDTF">2015-06-05T18:17:20Z</dcterms:created>
  <dcterms:modified xsi:type="dcterms:W3CDTF">2026-02-22T12:15:38Z</dcterms:modified>
</cp:coreProperties>
</file>